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navin\Downloads\"/>
    </mc:Choice>
  </mc:AlternateContent>
  <xr:revisionPtr revIDLastSave="0" documentId="13_ncr:1_{C3A1E402-8E1D-4C51-87E1-22B1398C099B}" xr6:coauthVersionLast="47" xr6:coauthVersionMax="47" xr10:uidLastSave="{00000000-0000-0000-0000-000000000000}"/>
  <bookViews>
    <workbookView xWindow="-108" yWindow="-108" windowWidth="23256" windowHeight="12456" tabRatio="849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externalReferences>
    <externalReference r:id="rId8"/>
    <externalReference r:id="rId9"/>
  </externalReference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4" i="20" l="1"/>
  <c r="C25" i="20"/>
  <c r="C26" i="20"/>
  <c r="C27" i="20"/>
  <c r="C28" i="20"/>
  <c r="C29" i="20"/>
  <c r="C30" i="20"/>
  <c r="C31" i="20"/>
  <c r="C32" i="20"/>
  <c r="C33" i="20"/>
  <c r="C34" i="20"/>
  <c r="C35" i="20"/>
  <c r="C23" i="20"/>
  <c r="C30" i="18"/>
  <c r="D30" i="18"/>
  <c r="E30" i="18"/>
  <c r="F30" i="18"/>
  <c r="B30" i="18"/>
  <c r="C29" i="18"/>
  <c r="D29" i="18"/>
  <c r="E29" i="18"/>
  <c r="F29" i="18"/>
  <c r="B29" i="18"/>
  <c r="C28" i="18"/>
  <c r="D28" i="18"/>
  <c r="E28" i="18"/>
  <c r="F28" i="18"/>
  <c r="B28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6" i="18"/>
  <c r="B17" i="16" a="1"/>
  <c r="B17" i="16" s="1"/>
  <c r="B18" i="16" a="1"/>
  <c r="B18" i="16" s="1"/>
  <c r="B19" i="16" a="1"/>
  <c r="B19" i="16" s="1"/>
  <c r="B20" i="16" a="1"/>
  <c r="B20" i="16" s="1"/>
  <c r="B21" i="16" a="1"/>
  <c r="B21" i="16" s="1"/>
  <c r="B22" i="16" a="1"/>
  <c r="B22" i="16" s="1"/>
  <c r="B23" i="16" a="1"/>
  <c r="B23" i="16" s="1"/>
  <c r="B24" i="16" a="1"/>
  <c r="B24" i="16" s="1"/>
  <c r="B25" i="16" a="1"/>
  <c r="B25" i="16" s="1"/>
  <c r="B26" i="16" a="1"/>
  <c r="B26" i="16" s="1"/>
  <c r="B27" i="16" a="1"/>
  <c r="B27" i="16" s="1"/>
  <c r="B28" i="16" a="1"/>
  <c r="B28" i="16" s="1"/>
  <c r="B29" i="16" a="1"/>
  <c r="B29" i="16" s="1"/>
  <c r="B30" i="16" a="1"/>
  <c r="B30" i="16" s="1"/>
  <c r="B31" i="16" a="1"/>
  <c r="B31" i="16" s="1"/>
  <c r="B32" i="16" a="1"/>
  <c r="B32" i="16" s="1"/>
  <c r="B33" i="16" a="1"/>
  <c r="B33" i="16" s="1"/>
  <c r="B34" i="16" a="1"/>
  <c r="B34" i="16" s="1"/>
  <c r="B35" i="16" a="1"/>
  <c r="B35" i="16" s="1"/>
  <c r="B36" i="16" a="1"/>
  <c r="B36" i="16" s="1"/>
  <c r="B37" i="16" a="1"/>
  <c r="B37" i="16" s="1"/>
  <c r="B38" i="16" a="1"/>
  <c r="B38" i="16" s="1"/>
  <c r="B39" i="16" a="1"/>
  <c r="B39" i="16" s="1"/>
  <c r="B40" i="16" a="1"/>
  <c r="B40" i="16" s="1"/>
  <c r="B41" i="16" a="1"/>
  <c r="B41" i="16" s="1"/>
  <c r="B42" i="16" a="1"/>
  <c r="B42" i="16" s="1"/>
  <c r="B43" i="16" a="1"/>
  <c r="B43" i="16" s="1"/>
  <c r="B44" i="16" a="1"/>
  <c r="B44" i="16" s="1"/>
  <c r="B45" i="16" a="1"/>
  <c r="B45" i="16" s="1"/>
  <c r="B46" i="16" a="1"/>
  <c r="B46" i="16" s="1"/>
  <c r="B47" i="16" a="1"/>
  <c r="B47" i="16" s="1"/>
  <c r="B48" i="16" a="1"/>
  <c r="B48" i="16" s="1"/>
  <c r="B49" i="16" a="1"/>
  <c r="B49" i="16" s="1"/>
  <c r="B50" i="16" a="1"/>
  <c r="B50" i="16" s="1"/>
  <c r="B51" i="16" a="1"/>
  <c r="B51" i="16" s="1"/>
  <c r="B52" i="16" a="1"/>
  <c r="B52" i="16" s="1"/>
  <c r="B53" i="16" a="1"/>
  <c r="B53" i="16" s="1"/>
  <c r="B54" i="16" a="1"/>
  <c r="B54" i="16" s="1"/>
  <c r="Y46" i="15"/>
  <c r="Y45" i="15"/>
  <c r="Y44" i="15"/>
  <c r="Y43" i="15"/>
  <c r="Y42" i="15"/>
  <c r="Y41" i="15"/>
  <c r="Y40" i="15"/>
  <c r="Y39" i="15"/>
  <c r="Y38" i="15"/>
  <c r="Y37" i="15"/>
  <c r="Y36" i="15"/>
  <c r="Y35" i="15"/>
  <c r="Y34" i="15"/>
  <c r="Y33" i="15"/>
  <c r="Y32" i="15"/>
  <c r="Y31" i="15"/>
  <c r="Y30" i="15"/>
  <c r="Y29" i="15"/>
  <c r="Y28" i="15"/>
  <c r="Y27" i="15"/>
  <c r="Y26" i="15"/>
  <c r="Y25" i="15"/>
  <c r="Y24" i="15"/>
  <c r="Y23" i="15"/>
  <c r="Y22" i="15"/>
  <c r="Y21" i="15"/>
  <c r="Y20" i="15"/>
  <c r="Y19" i="15"/>
  <c r="Y18" i="15"/>
  <c r="Y17" i="15"/>
  <c r="Y16" i="15"/>
  <c r="Y15" i="15"/>
  <c r="Y14" i="15"/>
  <c r="Y13" i="15"/>
  <c r="Y12" i="15"/>
  <c r="Y11" i="15"/>
  <c r="Y10" i="15"/>
  <c r="Y9" i="15"/>
  <c r="Y8" i="15"/>
  <c r="C22" i="19" a="1"/>
  <c r="C22" i="19" s="1"/>
  <c r="Y3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2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<sst xmlns="http://schemas.openxmlformats.org/spreadsheetml/2006/main" count="468" uniqueCount="183">
  <si>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</si>
  <si>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</si>
  <si>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</si>
  <si>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</si>
  <si>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</si>
  <si>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</si>
  <si>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</si>
  <si>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</si>
  <si>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</si>
  <si>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</si>
  <si>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</si>
  <si>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</si>
  <si>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</si>
  <si>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</si>
  <si>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</si>
  <si>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</si>
  <si>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</si>
  <si>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</si>
  <si>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</si>
  <si>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</si>
  <si>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</si>
  <si>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</si>
  <si>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</si>
  <si>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</si>
  <si>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</si>
  <si>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</si>
  <si>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</si>
  <si>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</si>
  <si>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</si>
  <si>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</si>
  <si>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</si>
  <si>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</si>
  <si>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</si>
  <si>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</si>
  <si>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</si>
  <si>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</si>
  <si>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</si>
  <si>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</si>
  <si>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</si>
  <si>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</si>
  <si>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</si>
  <si>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</si>
  <si>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</si>
  <si>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</si>
  <si>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</si>
  <si>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</si>
  <si>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</si>
  <si>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</si>
  <si>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</si>
  <si>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</si>
  <si>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</si>
  <si>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</si>
  <si>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</si>
  <si>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</si>
  <si>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</si>
  <si>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</si>
  <si>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</si>
  <si>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</si>
  <si>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</si>
  <si>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</si>
  <si>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</si>
  <si>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</si>
  <si>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</si>
  <si>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</si>
  <si>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</si>
  <si>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</si>
  <si>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</si>
  <si>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</si>
  <si>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</si>
  <si>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</si>
  <si>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</si>
  <si>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</si>
  <si>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</si>
  <si>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</si>
  <si>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</si>
  <si>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</si>
  <si>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</si>
  <si>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</si>
  <si>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</si>
  <si>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</si>
  <si>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</si>
  <si>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</si>
  <si>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</si>
  <si>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</si>
  <si>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</si>
  <si>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</si>
  <si>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</si>
  <si>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</si>
  <si>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</si>
  <si>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</si>
  <si>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</si>
  <si>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</si>
  <si>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</si>
  <si>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</si>
  <si>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</si>
  <si>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</si>
  <si>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</si>
  <si>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</si>
  <si>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</si>
  <si>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</si>
  <si>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</si>
  <si>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</si>
  <si>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</si>
  <si>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</si>
  <si>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</si>
  <si>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</si>
  <si>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</si>
  <si>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</si>
  <si>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</si>
  <si>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</si>
  <si>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</si>
  <si>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</si>
  <si>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</si>
  <si>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</si>
  <si>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</si>
  <si>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</si>
  <si>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</si>
  <si>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</si>
  <si>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</si>
  <si>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</si>
  <si>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</si>
  <si>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</si>
  <si>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</si>
  <si>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</si>
  <si>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</si>
  <si>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</si>
  <si>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</si>
  <si>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</si>
  <si>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</si>
  <si>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</si>
  <si>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</si>
  <si>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</si>
  <si>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</si>
  <si>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</si>
  <si>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</si>
  <si>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</si>
  <si>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</si>
  <si>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</si>
  <si>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</si>
  <si>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</si>
  <si>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</si>
  <si>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</si>
  <si>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</si>
  <si>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</si>
  <si>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</si>
  <si>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</si>
  <si>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</si>
  <si>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</si>
  <si>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</si>
  <si>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</si>
  <si>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</si>
  <si>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</si>
  <si>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</si>
  <si>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</si>
  <si>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</si>
  <si>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</si>
  <si>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</si>
  <si>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</si>
  <si>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</si>
  <si>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</si>
  <si>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</si>
  <si>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</si>
  <si>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</si>
  <si>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</si>
  <si>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</si>
  <si>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</si>
  <si>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</si>
  <si>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</si>
  <si>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</si>
  <si>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</si>
  <si>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</si>
  <si>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</si>
  <si>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</si>
  <si>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</si>
  <si>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</si>
  <si>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</si>
  <si>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</si>
  <si>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car2 =SUMIF(H2:H50, "&gt;20")</t>
  </si>
  <si>
    <t>"=SUMIF(C12:C21, "&lt;&gt;#N/A") + SUM(IFERROR(C12:C21, 20))"</t>
  </si>
  <si>
    <t>SUMIF(B2:B100, "&lt;&gt;#N/A"):
This part of the formula calculates the sum of values in the range B2:B100 that are not equal to #N/A. It uses the SUMIF function with the criteria "&lt;&gt;#N/A" to exclude #N/A values from the sum.                                                         SUM(IFERROR(B2:B100, 20)):This part of the formula calculates the sum of values in the range B2:B100, but in case of an error (such as #N/A), it substitutes the error with the value '20'. The IFERROR function is used here.</t>
  </si>
  <si>
    <t>name==IF(ISBLANK(VLOOKUP(A6, 'Dataset'!A:W, MATCH(B$5, 'Dataset'!A$1:W$1, 0), FALSE)), VLOOKUP(A6, 'Dataset'!A:W, MATCH(B$5, 'Dataset'!A$1:W$1, 0), FALSE), INDEX('Dataset'!$A$2:$W$50, MATCH(A6, 'Dataset'!$A$2:$A$50, 0), MATCH(B$5, 'Dataset'!$A$1:$W$1, 0)))</t>
  </si>
  <si>
    <t xml:space="preserve">Minimum=MIN(B2:B23)	</t>
  </si>
  <si>
    <t>name=IF(ISBLANK(VLOOKUP(A6, 'Dataset'!A:W, MATCH(B$5, 'Dataset'!A$1:W$1, 0), FALSE)), VLOOKUP(A6, 'Dataset'!A:W, MATCH(B$5, 'Dataset'!A$1:W$1, 0), FALSE), INDEX('Dataset'!$A$2:$W$50, MATCH(A6, 'Dataset'!$A$2:$A$50, 0), MATCH(B$5, 'Dataset'!$A$1:$W$1, 0)))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</si>
</sst>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8"/>
      <name val="Times New Roman"/>
      <charset val="204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6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4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3" fillId="0" borderId="0" xfId="0" applyFont="1" applyAlignment="1">
      <alignment wrapText="1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25">
    <dxf>
      <font>
        <color rgb="FF9C0006"/>
      </font>
      <fill>
        <patternFill>
          <bgColor rgb="FFFFC7CE"/>
        </patternFill>
      </fill>
    </dxf>
    <dxf>
      <font>
        <b val="0"/>
        <i val="0"/>
        <u val="none"/>
      </font>
    </dxf>
    <dxf>
      <font>
        <color rgb="FFFF0000"/>
      </font>
    </dxf>
    <dxf>
      <font>
        <color rgb="FF00B050"/>
      </font>
    </dxf>
    <dxf>
      <font>
        <b val="0"/>
        <i val="0"/>
        <u val="none"/>
      </font>
    </dxf>
    <dxf>
      <font>
        <color rgb="FFFF0000"/>
      </font>
    </dxf>
    <dxf>
      <font>
        <color rgb="FF00B050"/>
      </font>
    </dxf>
    <dxf>
      <font>
        <b val="0"/>
        <i val="0"/>
        <u val="none"/>
      </font>
    </dxf>
    <dxf>
      <font>
        <color rgb="FFFF0000"/>
      </font>
    </dxf>
    <dxf>
      <font>
        <color rgb="FF00B050"/>
      </font>
    </dxf>
    <dxf>
      <font>
        <b val="0"/>
        <i val="0"/>
        <u val="none"/>
      </font>
    </dxf>
    <dxf>
      <font>
        <color rgb="FFFF0000"/>
      </font>
    </dxf>
    <dxf>
      <font>
        <color rgb="FF00B050"/>
      </font>
    </dxf>
    <dxf>
      <font>
        <b val="0"/>
        <i val="0"/>
        <u val="none"/>
      </font>
    </dxf>
    <dxf>
      <font>
        <color rgb="FFFF0000"/>
      </font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b val="0"/>
        <i val="0"/>
        <u val="none"/>
      </font>
    </dxf>
    <dxf>
      <font>
        <color rgb="FFFF0000"/>
      </font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24"/>
      <tableStyleElement type="headerRow" dxfId="2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2720340</xdr:colOff>
      <xdr:row>4</xdr:row>
      <xdr:rowOff>1</xdr:rowOff>
    </xdr:from>
    <xdr:ext cx="7597140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54E24E4-96D9-710E-83F4-0A50356B2B7B}"/>
            </a:ext>
          </a:extLst>
        </xdr:cNvPr>
        <xdr:cNvSpPr txBox="1"/>
      </xdr:nvSpPr>
      <xdr:spPr>
        <a:xfrm>
          <a:off x="2720340" y="800101"/>
          <a:ext cx="759714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IN" sz="1100"/>
            <a:t>=TRANSPOSE(FILTERXML("&lt;t&gt;&lt;s&gt;" &amp; SUBSTITUTE(SUBSTITUTE(A16, "-", "&lt;/s&gt;&lt;s&gt;"), " ", "&lt;/s&gt;&lt;s&gt;") &amp; "&lt;/s&gt;&lt;/t&gt;", "//s"))</a:t>
          </a:r>
        </a:p>
      </xdr:txBody>
    </xdr:sp>
    <xdr:clientData/>
  </xdr:oneCellAnchor>
  <xdr:twoCellAnchor>
    <xdr:from>
      <xdr:col>0</xdr:col>
      <xdr:colOff>2689860</xdr:colOff>
      <xdr:row>4</xdr:row>
      <xdr:rowOff>213360</xdr:rowOff>
    </xdr:from>
    <xdr:to>
      <xdr:col>17</xdr:col>
      <xdr:colOff>38100</xdr:colOff>
      <xdr:row>7</xdr:row>
      <xdr:rowOff>152400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76C1DFC8-A148-2613-14A6-37ADF1551EB7}"/>
            </a:ext>
          </a:extLst>
        </xdr:cNvPr>
        <xdr:cNvSpPr txBox="1"/>
      </xdr:nvSpPr>
      <xdr:spPr>
        <a:xfrm>
          <a:off x="2689860" y="1013460"/>
          <a:ext cx="12146280" cy="6248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formula uses the SUBSTITUTE function to replace hyphens ("-") with spaces and then replaces the remaining spaces with hyphens, creating a string with hyphens between each value.</a:t>
          </a:r>
        </a:p>
        <a:p>
          <a:r>
            <a:rPr lang="en-I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string is then wrapped within XML tags (&lt;t&gt; for the entire string, &lt;s&gt; for each individual value) to create a simple XML structure.</a:t>
          </a:r>
        </a:p>
        <a:p>
          <a:r>
            <a:rPr lang="en-I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FILTERXML function is used to parse the XML and extract the values. The XPath expression "//s" selects all &lt;s&gt; elements.</a:t>
          </a:r>
        </a:p>
        <a:p>
          <a:r>
            <a:rPr lang="en-I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TRANSPOSE function is applied to arrange the extracted values in a row instead of a column.</a:t>
          </a:r>
        </a:p>
        <a:p>
          <a:endParaRPr lang="en-IN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Table_A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Table_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_A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_B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tabSelected="1"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9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6" t="s">
        <v>171</v>
      </c>
      <c r="B9" s="25" t="s">
        <v>169</v>
      </c>
    </row>
    <row r="10" spans="1:3" x14ac:dyDescent="0.3">
      <c r="A10" s="35" t="s">
        <v>172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84</v>
      </c>
      <c r="B13" s="37">
        <v>20</v>
      </c>
    </row>
    <row r="14" spans="1:3" x14ac:dyDescent="0.3">
      <c r="A14" s="35" t="s">
        <v>97</v>
      </c>
      <c r="B14" s="37">
        <v>40</v>
      </c>
    </row>
    <row r="15" spans="1:3" x14ac:dyDescent="0.3">
      <c r="A15" s="38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Y40"/>
  <sheetViews>
    <sheetView topLeftCell="L1" zoomScaleNormal="100" workbookViewId="0">
      <pane ySplit="1" topLeftCell="A2" activePane="bottomLeft" state="frozen"/>
      <selection activeCell="N1" sqref="N1"/>
      <selection pane="bottomLeft" activeCell="D34" sqref="D34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3" customWidth="1"/>
    <col min="5" max="5" width="9.21875" style="1" bestFit="1" customWidth="1"/>
    <col min="6" max="6" width="10.44140625" style="23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5" s="3" customFormat="1" ht="14.7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78</v>
      </c>
      <c r="H1" s="29" t="s">
        <v>177</v>
      </c>
      <c r="I1" s="29" t="s">
        <v>65</v>
      </c>
      <c r="J1" s="30" t="s">
        <v>66</v>
      </c>
      <c r="K1" s="30" t="s">
        <v>67</v>
      </c>
      <c r="L1" s="30" t="s">
        <v>68</v>
      </c>
      <c r="M1" s="29" t="s">
        <v>69</v>
      </c>
      <c r="N1" s="29" t="s">
        <v>70</v>
      </c>
      <c r="O1" s="29" t="s">
        <v>71</v>
      </c>
      <c r="P1" s="30" t="s">
        <v>72</v>
      </c>
      <c r="Q1" s="30" t="s">
        <v>73</v>
      </c>
      <c r="R1" s="30" t="s">
        <v>74</v>
      </c>
      <c r="S1" s="29" t="s">
        <v>79</v>
      </c>
      <c r="T1" s="29" t="s">
        <v>75</v>
      </c>
      <c r="U1" s="30" t="s">
        <v>80</v>
      </c>
      <c r="V1" s="30" t="s">
        <v>76</v>
      </c>
      <c r="W1" s="30" t="s">
        <v>77</v>
      </c>
      <c r="X1" s="3" t="s">
        <v>105</v>
      </c>
    </row>
    <row r="2" spans="1:25" x14ac:dyDescent="0.3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6">
        <v>45051</v>
      </c>
      <c r="Y2" s="1" t="str">
        <f>TEXT(X2, "yyyy-mm-dd")</f>
        <v>2023-05-05</v>
      </c>
    </row>
    <row r="3" spans="1:25" x14ac:dyDescent="0.3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6">
        <v>45048</v>
      </c>
      <c r="Y3" s="1" t="str">
        <f t="shared" ref="Y3:Y40" si="0">TEXT(X3, "yyyy-mm-dd")</f>
        <v>2023-05-02</v>
      </c>
    </row>
    <row r="4" spans="1:25" x14ac:dyDescent="0.3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6">
        <v>45055</v>
      </c>
      <c r="Y4" s="1" t="str">
        <f t="shared" si="0"/>
        <v>2023-05-09</v>
      </c>
    </row>
    <row r="5" spans="1:25" x14ac:dyDescent="0.3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6">
        <v>45059</v>
      </c>
      <c r="Y5" s="1" t="str">
        <f t="shared" si="0"/>
        <v>2023-05-13</v>
      </c>
    </row>
    <row r="6" spans="1:25" x14ac:dyDescent="0.3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6">
        <v>45076</v>
      </c>
      <c r="Y6" s="1" t="str">
        <f t="shared" si="0"/>
        <v>2023-05-30</v>
      </c>
    </row>
    <row r="7" spans="1:25" x14ac:dyDescent="0.3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6">
        <v>45057</v>
      </c>
      <c r="Y7" s="1" t="str">
        <f t="shared" si="0"/>
        <v>2023-05-11</v>
      </c>
    </row>
    <row r="8" spans="1:25" x14ac:dyDescent="0.3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6">
        <v>45052</v>
      </c>
      <c r="Y8" s="1" t="str">
        <f t="shared" si="0"/>
        <v>2023-05-06</v>
      </c>
    </row>
    <row r="9" spans="1:25" x14ac:dyDescent="0.3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6">
        <v>45098</v>
      </c>
      <c r="Y9" s="1" t="str">
        <f t="shared" si="0"/>
        <v>2023-06-21</v>
      </c>
    </row>
    <row r="10" spans="1:25" x14ac:dyDescent="0.3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6">
        <v>45092</v>
      </c>
      <c r="Y10" s="1" t="str">
        <f t="shared" si="0"/>
        <v>2023-06-15</v>
      </c>
    </row>
    <row r="11" spans="1:25" x14ac:dyDescent="0.3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6">
        <v>45104</v>
      </c>
      <c r="Y11" s="1" t="str">
        <f t="shared" si="0"/>
        <v>2023-06-27</v>
      </c>
    </row>
    <row r="12" spans="1:25" x14ac:dyDescent="0.3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26">
        <v>45116</v>
      </c>
      <c r="Y12" s="1" t="str">
        <f t="shared" si="0"/>
        <v>2023-07-09</v>
      </c>
    </row>
    <row r="13" spans="1:25" x14ac:dyDescent="0.3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6">
        <v>45110</v>
      </c>
      <c r="Y13" s="1" t="str">
        <f t="shared" si="0"/>
        <v>2023-07-03</v>
      </c>
    </row>
    <row r="14" spans="1:25" x14ac:dyDescent="0.3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6">
        <v>45095</v>
      </c>
      <c r="Y14" s="1" t="str">
        <f t="shared" si="0"/>
        <v>2023-06-18</v>
      </c>
    </row>
    <row r="15" spans="1:25" x14ac:dyDescent="0.3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6">
        <v>45113</v>
      </c>
      <c r="Y15" s="1" t="str">
        <f t="shared" si="0"/>
        <v>2023-07-06</v>
      </c>
    </row>
    <row r="16" spans="1:25" x14ac:dyDescent="0.3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26">
        <v>45063</v>
      </c>
      <c r="Y16" s="1" t="str">
        <f t="shared" si="0"/>
        <v>2023-05-17</v>
      </c>
    </row>
    <row r="17" spans="1:25" x14ac:dyDescent="0.3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26">
        <v>45071</v>
      </c>
      <c r="Y17" s="1" t="str">
        <f t="shared" si="0"/>
        <v>2023-05-25</v>
      </c>
    </row>
    <row r="18" spans="1:25" x14ac:dyDescent="0.3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26">
        <v>45085</v>
      </c>
      <c r="Y18" s="1" t="str">
        <f t="shared" si="0"/>
        <v>2023-06-08</v>
      </c>
    </row>
    <row r="19" spans="1:25" x14ac:dyDescent="0.3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26">
        <v>45099</v>
      </c>
      <c r="Y19" s="1" t="str">
        <f t="shared" si="0"/>
        <v>2023-06-22</v>
      </c>
    </row>
    <row r="20" spans="1:25" x14ac:dyDescent="0.3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26">
        <v>45091</v>
      </c>
      <c r="Y20" s="1" t="str">
        <f t="shared" si="0"/>
        <v>2023-06-14</v>
      </c>
    </row>
    <row r="21" spans="1:25" x14ac:dyDescent="0.3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26">
        <v>45079</v>
      </c>
      <c r="Y21" s="1" t="str">
        <f t="shared" si="0"/>
        <v>2023-06-02</v>
      </c>
    </row>
    <row r="22" spans="1:25" x14ac:dyDescent="0.3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26">
        <v>45075</v>
      </c>
      <c r="Y22" s="1" t="str">
        <f t="shared" si="0"/>
        <v>2023-05-29</v>
      </c>
    </row>
    <row r="23" spans="1:25" x14ac:dyDescent="0.3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26">
        <v>45110</v>
      </c>
      <c r="Y23" s="1" t="str">
        <f t="shared" si="0"/>
        <v>2023-07-03</v>
      </c>
    </row>
    <row r="24" spans="1:25" x14ac:dyDescent="0.3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26">
        <v>45114</v>
      </c>
      <c r="Y24" s="1" t="str">
        <f t="shared" si="0"/>
        <v>2023-07-07</v>
      </c>
    </row>
    <row r="25" spans="1:25" x14ac:dyDescent="0.3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26">
        <v>45118</v>
      </c>
      <c r="Y25" s="1" t="str">
        <f t="shared" si="0"/>
        <v>2023-07-11</v>
      </c>
    </row>
    <row r="26" spans="1:25" x14ac:dyDescent="0.3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26">
        <v>45142</v>
      </c>
      <c r="Y26" s="1" t="str">
        <f t="shared" si="0"/>
        <v>2023-08-04</v>
      </c>
    </row>
    <row r="27" spans="1:25" x14ac:dyDescent="0.3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26">
        <v>45146</v>
      </c>
      <c r="Y27" s="1" t="str">
        <f t="shared" si="0"/>
        <v>2023-08-08</v>
      </c>
    </row>
    <row r="28" spans="1:25" x14ac:dyDescent="0.3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26">
        <v>45108</v>
      </c>
      <c r="Y28" s="1" t="str">
        <f t="shared" si="0"/>
        <v>2023-07-01</v>
      </c>
    </row>
    <row r="29" spans="1:25" x14ac:dyDescent="0.3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26">
        <v>45153</v>
      </c>
      <c r="Y29" s="1" t="str">
        <f t="shared" si="0"/>
        <v>2023-08-15</v>
      </c>
    </row>
    <row r="30" spans="1:25" x14ac:dyDescent="0.3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26">
        <v>45150</v>
      </c>
      <c r="Y30" s="1" t="str">
        <f t="shared" si="0"/>
        <v>2023-08-12</v>
      </c>
    </row>
    <row r="31" spans="1:25" x14ac:dyDescent="0.3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26">
        <v>45157</v>
      </c>
      <c r="Y31" s="1" t="str">
        <f t="shared" si="0"/>
        <v>2023-08-19</v>
      </c>
    </row>
    <row r="32" spans="1:25" x14ac:dyDescent="0.3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26">
        <v>45143</v>
      </c>
      <c r="Y32" s="1" t="str">
        <f t="shared" si="0"/>
        <v>2023-08-05</v>
      </c>
    </row>
    <row r="33" spans="1:25" x14ac:dyDescent="0.3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26">
        <v>45166</v>
      </c>
      <c r="Y33" s="1" t="str">
        <f t="shared" si="0"/>
        <v>2023-08-28</v>
      </c>
    </row>
    <row r="34" spans="1:25" x14ac:dyDescent="0.3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26">
        <v>45162</v>
      </c>
      <c r="Y34" s="1" t="str">
        <f t="shared" si="0"/>
        <v>2023-08-24</v>
      </c>
    </row>
    <row r="35" spans="1:25" x14ac:dyDescent="0.3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26">
        <v>45160</v>
      </c>
      <c r="Y35" s="1" t="str">
        <f t="shared" si="0"/>
        <v>2023-08-22</v>
      </c>
    </row>
    <row r="36" spans="1:25" x14ac:dyDescent="0.3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26">
        <v>45179</v>
      </c>
      <c r="Y36" s="1" t="str">
        <f t="shared" si="0"/>
        <v>2023-09-10</v>
      </c>
    </row>
    <row r="37" spans="1:25" x14ac:dyDescent="0.3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26">
        <v>45157</v>
      </c>
      <c r="Y37" s="1" t="str">
        <f t="shared" si="0"/>
        <v>2023-08-19</v>
      </c>
    </row>
    <row r="38" spans="1:25" x14ac:dyDescent="0.3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26">
        <v>45143</v>
      </c>
      <c r="Y38" s="1" t="str">
        <f t="shared" si="0"/>
        <v>2023-08-05</v>
      </c>
    </row>
    <row r="39" spans="1:25" x14ac:dyDescent="0.3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26">
        <v>45166</v>
      </c>
      <c r="Y39" s="1" t="str">
        <f t="shared" si="0"/>
        <v>2023-08-28</v>
      </c>
    </row>
    <row r="40" spans="1:25" x14ac:dyDescent="0.3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26">
        <v>45162</v>
      </c>
      <c r="Y40" s="1" t="str">
        <f t="shared" si="0"/>
        <v>2023-08-24</v>
      </c>
    </row>
  </sheetData>
  <conditionalFormatting sqref="A1:A1048576">
    <cfRule type="duplicateValues" dxfId="16" priority="6"/>
  </conditionalFormatting>
  <conditionalFormatting sqref="B1:B1048576">
    <cfRule type="duplicateValues" dxfId="22" priority="5"/>
  </conditionalFormatting>
  <conditionalFormatting sqref="A1:X40">
    <cfRule type="cellIs" dxfId="15" priority="1" operator="equal">
      <formula>0</formula>
    </cfRule>
    <cfRule type="cellIs" dxfId="14" priority="2" operator="equal">
      <formula>-1</formula>
    </cfRule>
    <cfRule type="cellIs" dxfId="13" priority="3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Y46"/>
  <sheetViews>
    <sheetView zoomScaleNormal="100" workbookViewId="0">
      <pane ySplit="1" topLeftCell="A2" activePane="bottomLeft" state="frozen"/>
      <selection activeCell="H1" sqref="H1"/>
      <selection pane="bottomLeft" activeCell="B6" sqref="B6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2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25" x14ac:dyDescent="0.3">
      <c r="A2" s="2"/>
      <c r="B2" s="5" t="s">
        <v>160</v>
      </c>
      <c r="C2" s="2"/>
    </row>
    <row r="3" spans="1:2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25" x14ac:dyDescent="0.3">
      <c r="A4" s="6">
        <v>2</v>
      </c>
      <c r="B4" s="2" t="s">
        <v>46</v>
      </c>
      <c r="C4" s="2"/>
      <c r="E4" s="1">
        <v>5</v>
      </c>
    </row>
    <row r="5" spans="1:25" x14ac:dyDescent="0.3">
      <c r="A5" s="6">
        <v>3</v>
      </c>
      <c r="B5" s="2" t="s">
        <v>103</v>
      </c>
      <c r="C5" s="34" t="s">
        <v>104</v>
      </c>
      <c r="E5" s="1">
        <v>10</v>
      </c>
    </row>
    <row r="6" spans="1:25" x14ac:dyDescent="0.3">
      <c r="A6" s="6">
        <v>4</v>
      </c>
      <c r="B6" s="2" t="s">
        <v>106</v>
      </c>
      <c r="C6" s="2"/>
      <c r="E6" s="1">
        <v>5</v>
      </c>
    </row>
    <row r="7" spans="1:25" x14ac:dyDescent="0.3">
      <c r="A7" s="27" t="s">
        <v>64</v>
      </c>
      <c r="B7" s="27" t="s">
        <v>43</v>
      </c>
      <c r="C7" s="27" t="s">
        <v>0</v>
      </c>
      <c r="D7" s="28" t="s">
        <v>1</v>
      </c>
      <c r="E7" s="27" t="s">
        <v>2</v>
      </c>
      <c r="F7" s="28" t="s">
        <v>3</v>
      </c>
      <c r="G7" s="29" t="s">
        <v>78</v>
      </c>
      <c r="H7" s="29" t="s">
        <v>177</v>
      </c>
      <c r="I7" s="29" t="s">
        <v>65</v>
      </c>
      <c r="J7" s="30" t="s">
        <v>66</v>
      </c>
      <c r="K7" s="30" t="s">
        <v>67</v>
      </c>
      <c r="L7" s="30" t="s">
        <v>68</v>
      </c>
      <c r="M7" s="29" t="s">
        <v>69</v>
      </c>
      <c r="N7" s="29" t="s">
        <v>70</v>
      </c>
      <c r="O7" s="29" t="s">
        <v>71</v>
      </c>
      <c r="P7" s="30" t="s">
        <v>72</v>
      </c>
      <c r="Q7" s="30" t="s">
        <v>73</v>
      </c>
      <c r="R7" s="30" t="s">
        <v>74</v>
      </c>
      <c r="S7" s="29" t="s">
        <v>79</v>
      </c>
      <c r="T7" s="29" t="s">
        <v>75</v>
      </c>
      <c r="U7" s="30" t="s">
        <v>80</v>
      </c>
      <c r="V7" s="30" t="s">
        <v>76</v>
      </c>
      <c r="W7" s="30" t="s">
        <v>77</v>
      </c>
      <c r="X7" s="3" t="s">
        <v>105</v>
      </c>
      <c r="Y7" s="3"/>
    </row>
    <row r="8" spans="1:25" x14ac:dyDescent="0.3">
      <c r="A8" s="1" t="s">
        <v>40</v>
      </c>
      <c r="B8" s="1">
        <v>20000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2.7</v>
      </c>
      <c r="H8" s="1">
        <v>3.6</v>
      </c>
      <c r="I8" s="1">
        <v>4.2</v>
      </c>
      <c r="J8" s="1">
        <v>-1</v>
      </c>
      <c r="K8" s="1">
        <v>-1</v>
      </c>
      <c r="L8" s="1">
        <v>-1</v>
      </c>
      <c r="M8" s="1">
        <v>5.3</v>
      </c>
      <c r="N8" s="1">
        <v>7.6</v>
      </c>
      <c r="O8" s="1">
        <v>8.9</v>
      </c>
      <c r="P8" s="1">
        <v>2.7</v>
      </c>
      <c r="Q8" s="1">
        <v>3.6</v>
      </c>
      <c r="R8" s="1">
        <v>4.2</v>
      </c>
      <c r="S8" s="1">
        <v>7.6</v>
      </c>
      <c r="T8" s="1">
        <v>8.9</v>
      </c>
      <c r="U8" s="1">
        <v>3.6</v>
      </c>
      <c r="V8" s="1">
        <v>4.2</v>
      </c>
      <c r="W8" s="1">
        <v>4.2</v>
      </c>
      <c r="X8" s="26">
        <v>45051</v>
      </c>
      <c r="Y8" s="1" t="str">
        <f>TEXT(X8, "yyyy-mm-dd")</f>
        <v>2023-05-05</v>
      </c>
    </row>
    <row r="9" spans="1:25" x14ac:dyDescent="0.3">
      <c r="A9" s="1" t="s">
        <v>4</v>
      </c>
      <c r="B9" s="1">
        <v>20002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2.7</v>
      </c>
      <c r="H9" s="1">
        <v>3.6</v>
      </c>
      <c r="I9" s="1">
        <v>4.2</v>
      </c>
      <c r="J9" s="1">
        <v>-1</v>
      </c>
      <c r="K9" s="1">
        <v>-1</v>
      </c>
      <c r="L9" s="1">
        <v>-1</v>
      </c>
      <c r="M9" s="1">
        <v>5.3</v>
      </c>
      <c r="N9" s="1">
        <v>7.6</v>
      </c>
      <c r="O9" s="1">
        <v>8.9</v>
      </c>
      <c r="P9" s="1">
        <v>2.7</v>
      </c>
      <c r="Q9" s="1">
        <v>3.6</v>
      </c>
      <c r="R9" s="1">
        <v>4.2</v>
      </c>
      <c r="S9" s="1">
        <v>7.6</v>
      </c>
      <c r="T9" s="1">
        <v>8.9</v>
      </c>
      <c r="U9" s="1">
        <v>3.6</v>
      </c>
      <c r="V9" s="1">
        <v>4.2</v>
      </c>
      <c r="W9" s="1">
        <v>4.2</v>
      </c>
      <c r="X9" s="26">
        <v>45048</v>
      </c>
      <c r="Y9" s="1" t="str">
        <f t="shared" ref="Y9:Y46" si="0">TEXT(X9, "yyyy-mm-dd")</f>
        <v>2023-05-02</v>
      </c>
    </row>
    <row r="10" spans="1:25" x14ac:dyDescent="0.3">
      <c r="A10" s="1" t="s">
        <v>7</v>
      </c>
      <c r="B10" s="1">
        <v>20004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3.6</v>
      </c>
      <c r="H10" s="1">
        <v>5.4</v>
      </c>
      <c r="I10" s="1">
        <v>5.8</v>
      </c>
      <c r="J10" s="1">
        <v>-1</v>
      </c>
      <c r="K10" s="1">
        <v>-1</v>
      </c>
      <c r="L10" s="1">
        <v>-1</v>
      </c>
      <c r="M10" s="1">
        <v>7.6</v>
      </c>
      <c r="N10" s="1">
        <v>11.1</v>
      </c>
      <c r="O10" s="1">
        <v>12.2</v>
      </c>
      <c r="P10" s="1">
        <v>3.6</v>
      </c>
      <c r="Q10" s="1">
        <v>5.4</v>
      </c>
      <c r="R10" s="1">
        <v>5.8</v>
      </c>
      <c r="S10" s="1">
        <v>11.1</v>
      </c>
      <c r="T10" s="1">
        <v>12.2</v>
      </c>
      <c r="U10" s="1">
        <v>5.4</v>
      </c>
      <c r="V10" s="1">
        <v>5.8</v>
      </c>
      <c r="W10" s="1">
        <v>5.8</v>
      </c>
      <c r="X10" s="26">
        <v>45055</v>
      </c>
      <c r="Y10" s="1" t="str">
        <f t="shared" si="0"/>
        <v>2023-05-09</v>
      </c>
    </row>
    <row r="11" spans="1:25" x14ac:dyDescent="0.3">
      <c r="A11" s="1" t="s">
        <v>8</v>
      </c>
      <c r="B11" s="1">
        <v>20006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4.9000000000000004</v>
      </c>
      <c r="H11" s="1">
        <v>6.6</v>
      </c>
      <c r="I11" s="1">
        <v>8.1</v>
      </c>
      <c r="J11" s="1">
        <v>-1</v>
      </c>
      <c r="K11" s="1">
        <v>-1</v>
      </c>
      <c r="L11" s="1">
        <v>-1</v>
      </c>
      <c r="M11" s="1">
        <v>10</v>
      </c>
      <c r="N11" s="1">
        <v>13.3</v>
      </c>
      <c r="O11" s="1">
        <v>17</v>
      </c>
      <c r="P11" s="1">
        <v>4.9000000000000004</v>
      </c>
      <c r="Q11" s="1">
        <v>6.6</v>
      </c>
      <c r="R11" s="1">
        <v>8.1</v>
      </c>
      <c r="S11" s="1">
        <v>13.3</v>
      </c>
      <c r="T11" s="1">
        <v>17</v>
      </c>
      <c r="U11" s="1">
        <v>6.6</v>
      </c>
      <c r="V11" s="1">
        <v>8.1</v>
      </c>
      <c r="W11" s="1">
        <v>8.1</v>
      </c>
      <c r="X11" s="26">
        <v>45059</v>
      </c>
      <c r="Y11" s="1" t="str">
        <f t="shared" si="0"/>
        <v>2023-05-13</v>
      </c>
    </row>
    <row r="12" spans="1:25" x14ac:dyDescent="0.3">
      <c r="A12" s="1" t="s">
        <v>9</v>
      </c>
      <c r="B12" s="1">
        <v>20008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6.6</v>
      </c>
      <c r="H12" s="1">
        <v>8.8000000000000007</v>
      </c>
      <c r="I12" s="1">
        <v>11</v>
      </c>
      <c r="J12" s="1">
        <v>-1</v>
      </c>
      <c r="K12" s="1">
        <v>-1</v>
      </c>
      <c r="L12" s="1">
        <v>-1</v>
      </c>
      <c r="M12" s="1">
        <v>13.3</v>
      </c>
      <c r="N12" s="1">
        <v>18</v>
      </c>
      <c r="O12" s="1">
        <v>22.5</v>
      </c>
      <c r="P12" s="1">
        <v>6.6</v>
      </c>
      <c r="Q12" s="1">
        <v>8.8000000000000007</v>
      </c>
      <c r="R12" s="1">
        <v>11</v>
      </c>
      <c r="S12" s="1">
        <v>18</v>
      </c>
      <c r="T12" s="1">
        <v>22.5</v>
      </c>
      <c r="U12" s="1">
        <v>8.8000000000000007</v>
      </c>
      <c r="V12" s="1">
        <v>11</v>
      </c>
      <c r="W12" s="1">
        <v>11</v>
      </c>
      <c r="X12" s="26">
        <v>45076</v>
      </c>
      <c r="Y12" s="1" t="str">
        <f t="shared" si="0"/>
        <v>2023-05-30</v>
      </c>
    </row>
    <row r="13" spans="1:25" x14ac:dyDescent="0.3">
      <c r="A13" s="1" t="s">
        <v>10</v>
      </c>
      <c r="B13" s="1">
        <v>20010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7.1</v>
      </c>
      <c r="H13" s="1">
        <v>10.4</v>
      </c>
      <c r="I13" s="1">
        <v>12.8</v>
      </c>
      <c r="J13" s="1">
        <v>-1</v>
      </c>
      <c r="K13" s="1">
        <v>-1</v>
      </c>
      <c r="L13" s="1">
        <v>-1</v>
      </c>
      <c r="M13" s="1">
        <v>14.4</v>
      </c>
      <c r="N13" s="1">
        <v>21.5</v>
      </c>
      <c r="O13" s="1">
        <v>26.1</v>
      </c>
      <c r="P13" s="1">
        <v>7.1</v>
      </c>
      <c r="Q13" s="1">
        <v>10.4</v>
      </c>
      <c r="R13" s="1">
        <v>12.8</v>
      </c>
      <c r="S13" s="1">
        <v>21.5</v>
      </c>
      <c r="T13" s="1">
        <v>26.1</v>
      </c>
      <c r="U13" s="1">
        <v>10.4</v>
      </c>
      <c r="V13" s="1">
        <v>12.8</v>
      </c>
      <c r="W13" s="1">
        <v>12.8</v>
      </c>
      <c r="X13" s="26">
        <v>45057</v>
      </c>
      <c r="Y13" s="1" t="str">
        <f t="shared" si="0"/>
        <v>2023-05-11</v>
      </c>
    </row>
    <row r="14" spans="1:25" x14ac:dyDescent="0.3">
      <c r="A14" s="1" t="s">
        <v>11</v>
      </c>
      <c r="B14" s="1">
        <v>20012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9.4</v>
      </c>
      <c r="H14" s="1">
        <v>13.8</v>
      </c>
      <c r="I14" s="1">
        <v>16.100000000000001</v>
      </c>
      <c r="J14" s="1">
        <v>-1</v>
      </c>
      <c r="K14" s="1">
        <v>-1</v>
      </c>
      <c r="L14" s="1">
        <v>-1</v>
      </c>
      <c r="M14" s="1">
        <v>19.2</v>
      </c>
      <c r="N14" s="1">
        <v>28.3</v>
      </c>
      <c r="O14" s="1">
        <v>32.799999999999997</v>
      </c>
      <c r="P14" s="1">
        <v>9.4</v>
      </c>
      <c r="Q14" s="1">
        <v>13.8</v>
      </c>
      <c r="R14" s="1">
        <v>16.100000000000001</v>
      </c>
      <c r="S14" s="1">
        <v>28.3</v>
      </c>
      <c r="T14" s="1">
        <v>32.799999999999997</v>
      </c>
      <c r="U14" s="1">
        <v>13.8</v>
      </c>
      <c r="V14" s="1">
        <v>16.100000000000001</v>
      </c>
      <c r="W14" s="1">
        <v>16.100000000000001</v>
      </c>
      <c r="X14" s="26">
        <v>45052</v>
      </c>
      <c r="Y14" s="1" t="str">
        <f t="shared" si="0"/>
        <v>2023-05-06</v>
      </c>
    </row>
    <row r="15" spans="1:25" x14ac:dyDescent="0.3">
      <c r="A15" s="1" t="s">
        <v>12</v>
      </c>
      <c r="B15" s="1">
        <v>20014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11.6</v>
      </c>
      <c r="H15" s="1">
        <v>17.3</v>
      </c>
      <c r="I15" s="1">
        <v>21.3</v>
      </c>
      <c r="J15" s="1">
        <v>-1</v>
      </c>
      <c r="K15" s="1">
        <v>-1</v>
      </c>
      <c r="L15" s="1">
        <v>-1</v>
      </c>
      <c r="M15" s="1">
        <v>23.6</v>
      </c>
      <c r="N15" s="1">
        <v>35.200000000000003</v>
      </c>
      <c r="O15" s="1">
        <v>43</v>
      </c>
      <c r="P15" s="1">
        <v>11.6</v>
      </c>
      <c r="Q15" s="1">
        <v>17.3</v>
      </c>
      <c r="R15" s="1">
        <v>21.3</v>
      </c>
      <c r="S15" s="1">
        <v>35.200000000000003</v>
      </c>
      <c r="T15" s="1">
        <v>43</v>
      </c>
      <c r="U15" s="1">
        <v>17.3</v>
      </c>
      <c r="V15" s="1">
        <v>21.3</v>
      </c>
      <c r="W15" s="1">
        <v>21.3</v>
      </c>
      <c r="X15" s="26">
        <v>45098</v>
      </c>
      <c r="Y15" s="1" t="str">
        <f t="shared" si="0"/>
        <v>2023-06-21</v>
      </c>
    </row>
    <row r="16" spans="1:25" x14ac:dyDescent="0.3">
      <c r="A16" s="1" t="s">
        <v>13</v>
      </c>
      <c r="B16" s="1">
        <v>20016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16.100000000000001</v>
      </c>
      <c r="H16" s="1">
        <v>24.1</v>
      </c>
      <c r="I16" s="1">
        <v>29.1</v>
      </c>
      <c r="J16" s="1">
        <v>-1</v>
      </c>
      <c r="K16" s="1">
        <v>-1</v>
      </c>
      <c r="L16" s="1">
        <v>-1</v>
      </c>
      <c r="M16" s="1">
        <v>32.799999999999997</v>
      </c>
      <c r="N16" s="1">
        <v>49</v>
      </c>
      <c r="O16" s="1">
        <v>59</v>
      </c>
      <c r="P16" s="1">
        <v>16.100000000000001</v>
      </c>
      <c r="Q16" s="1">
        <v>24.1</v>
      </c>
      <c r="R16" s="1">
        <v>29.1</v>
      </c>
      <c r="S16" s="1">
        <v>49</v>
      </c>
      <c r="T16" s="1">
        <v>59</v>
      </c>
      <c r="U16" s="1">
        <v>24.1</v>
      </c>
      <c r="V16" s="1">
        <v>29.1</v>
      </c>
      <c r="W16" s="1">
        <v>29.1</v>
      </c>
      <c r="X16" s="26">
        <v>45092</v>
      </c>
      <c r="Y16" s="1" t="str">
        <f t="shared" si="0"/>
        <v>2023-06-15</v>
      </c>
    </row>
    <row r="17" spans="1:25" x14ac:dyDescent="0.3">
      <c r="A17" s="1" t="s">
        <v>14</v>
      </c>
      <c r="B17" s="1">
        <v>20018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18.399999999999999</v>
      </c>
      <c r="H17" s="1">
        <v>27.5</v>
      </c>
      <c r="I17" s="1">
        <v>33.799999999999997</v>
      </c>
      <c r="J17" s="1">
        <v>-1</v>
      </c>
      <c r="K17" s="1">
        <v>-1</v>
      </c>
      <c r="L17" s="1">
        <v>-1</v>
      </c>
      <c r="M17" s="1">
        <v>37.200000000000003</v>
      </c>
      <c r="N17" s="1">
        <v>55.6</v>
      </c>
      <c r="O17" s="1">
        <v>67.900000000000006</v>
      </c>
      <c r="P17" s="1">
        <v>18.399999999999999</v>
      </c>
      <c r="Q17" s="1">
        <v>27.5</v>
      </c>
      <c r="R17" s="1">
        <v>33.799999999999997</v>
      </c>
      <c r="S17" s="1">
        <v>55.6</v>
      </c>
      <c r="T17" s="1">
        <v>67.900000000000006</v>
      </c>
      <c r="U17" s="1">
        <v>27.5</v>
      </c>
      <c r="V17" s="1">
        <v>33.799999999999997</v>
      </c>
      <c r="W17" s="1">
        <v>33.799999999999997</v>
      </c>
      <c r="X17" s="26">
        <v>45104</v>
      </c>
      <c r="Y17" s="1" t="str">
        <f t="shared" si="0"/>
        <v>2023-06-27</v>
      </c>
    </row>
    <row r="18" spans="1:25" x14ac:dyDescent="0.3">
      <c r="A18" s="1" t="s">
        <v>15</v>
      </c>
      <c r="B18" s="1">
        <v>20020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26">
        <v>45116</v>
      </c>
      <c r="Y18" s="1" t="str">
        <f t="shared" si="0"/>
        <v>2023-07-09</v>
      </c>
    </row>
    <row r="19" spans="1:25" x14ac:dyDescent="0.3">
      <c r="A19" s="1" t="s">
        <v>16</v>
      </c>
      <c r="B19" s="1">
        <v>20022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21.9</v>
      </c>
      <c r="H19" s="1">
        <v>32.1</v>
      </c>
      <c r="I19" s="1">
        <v>40.1</v>
      </c>
      <c r="J19" s="1">
        <v>-1</v>
      </c>
      <c r="K19" s="1">
        <v>-1</v>
      </c>
      <c r="L19" s="1">
        <v>-1</v>
      </c>
      <c r="M19" s="1">
        <v>42.3</v>
      </c>
      <c r="N19" s="1">
        <v>61.5</v>
      </c>
      <c r="O19" s="1">
        <v>76.599999999999994</v>
      </c>
      <c r="P19" s="1">
        <v>21.9</v>
      </c>
      <c r="Q19" s="1">
        <v>32.1</v>
      </c>
      <c r="R19" s="1">
        <v>40.1</v>
      </c>
      <c r="S19" s="1">
        <v>61.5</v>
      </c>
      <c r="T19" s="1">
        <v>76.599999999999994</v>
      </c>
      <c r="U19" s="1">
        <v>32.1</v>
      </c>
      <c r="V19" s="1">
        <v>40.1</v>
      </c>
      <c r="W19" s="1">
        <v>40.1</v>
      </c>
      <c r="X19" s="26">
        <v>45110</v>
      </c>
      <c r="Y19" s="1" t="str">
        <f t="shared" si="0"/>
        <v>2023-07-03</v>
      </c>
    </row>
    <row r="20" spans="1:25" x14ac:dyDescent="0.3">
      <c r="A20" s="1" t="s">
        <v>17</v>
      </c>
      <c r="B20" s="1">
        <v>20024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23.5</v>
      </c>
      <c r="H20" s="1">
        <v>34.700000000000003</v>
      </c>
      <c r="I20" s="1">
        <v>42.7</v>
      </c>
      <c r="J20" s="1">
        <v>-1</v>
      </c>
      <c r="K20" s="1">
        <v>-1</v>
      </c>
      <c r="L20" s="1">
        <v>-1</v>
      </c>
      <c r="M20" s="1">
        <v>47.7</v>
      </c>
      <c r="N20" s="1">
        <v>70.8</v>
      </c>
      <c r="O20" s="1">
        <v>86.6</v>
      </c>
      <c r="P20" s="1">
        <v>23.5</v>
      </c>
      <c r="Q20" s="1">
        <v>34.700000000000003</v>
      </c>
      <c r="R20" s="1">
        <v>42.7</v>
      </c>
      <c r="S20" s="1">
        <v>70.8</v>
      </c>
      <c r="T20" s="1">
        <v>86.6</v>
      </c>
      <c r="U20" s="1">
        <v>34.700000000000003</v>
      </c>
      <c r="V20" s="1">
        <v>42.7</v>
      </c>
      <c r="W20" s="1">
        <v>42.7</v>
      </c>
      <c r="X20" s="26">
        <v>45095</v>
      </c>
      <c r="Y20" s="1" t="str">
        <f t="shared" si="0"/>
        <v>2023-06-18</v>
      </c>
    </row>
    <row r="21" spans="1:25" x14ac:dyDescent="0.3">
      <c r="A21" s="1" t="s">
        <v>18</v>
      </c>
      <c r="B21" s="1">
        <v>20026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26.8</v>
      </c>
      <c r="H21" s="1">
        <v>39.299999999999997</v>
      </c>
      <c r="I21" s="1">
        <v>47.9</v>
      </c>
      <c r="J21" s="1">
        <v>-1</v>
      </c>
      <c r="K21" s="1">
        <v>-1</v>
      </c>
      <c r="L21" s="1">
        <v>-1</v>
      </c>
      <c r="M21" s="1">
        <v>54.6</v>
      </c>
      <c r="N21" s="1">
        <v>79.599999999999994</v>
      </c>
      <c r="O21" s="1">
        <v>96.8</v>
      </c>
      <c r="P21" s="1">
        <v>26.8</v>
      </c>
      <c r="Q21" s="1">
        <v>39.299999999999997</v>
      </c>
      <c r="R21" s="1">
        <v>47.9</v>
      </c>
      <c r="S21" s="1">
        <v>79.599999999999994</v>
      </c>
      <c r="T21" s="1">
        <v>96.8</v>
      </c>
      <c r="U21" s="1">
        <v>39.299999999999997</v>
      </c>
      <c r="V21" s="1">
        <v>47.9</v>
      </c>
      <c r="W21" s="1">
        <v>47.9</v>
      </c>
      <c r="X21" s="26">
        <v>45113</v>
      </c>
      <c r="Y21" s="1" t="str">
        <f t="shared" si="0"/>
        <v>2023-07-06</v>
      </c>
    </row>
    <row r="22" spans="1:25" x14ac:dyDescent="0.3">
      <c r="A22" s="1" t="s">
        <v>19</v>
      </c>
      <c r="B22" s="1">
        <v>20028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28</v>
      </c>
      <c r="H22" s="1">
        <v>41</v>
      </c>
      <c r="I22" s="1">
        <v>50.1</v>
      </c>
      <c r="J22" s="1">
        <v>-1</v>
      </c>
      <c r="K22" s="1">
        <v>-1</v>
      </c>
      <c r="L22" s="1">
        <v>-1</v>
      </c>
      <c r="M22" s="1">
        <v>56.7</v>
      </c>
      <c r="N22" s="1">
        <v>83.2</v>
      </c>
      <c r="O22" s="1">
        <v>101.3</v>
      </c>
      <c r="P22" s="1">
        <v>28</v>
      </c>
      <c r="Q22" s="1">
        <v>41</v>
      </c>
      <c r="R22" s="1">
        <v>50.1</v>
      </c>
      <c r="S22" s="1">
        <v>83.2</v>
      </c>
      <c r="T22" s="1">
        <v>101.3</v>
      </c>
      <c r="U22" s="1">
        <v>41</v>
      </c>
      <c r="V22" s="1">
        <v>50.1</v>
      </c>
      <c r="W22" s="1">
        <v>50.1</v>
      </c>
      <c r="X22" s="26">
        <v>45063</v>
      </c>
      <c r="Y22" s="1" t="str">
        <f t="shared" si="0"/>
        <v>2023-05-17</v>
      </c>
    </row>
    <row r="23" spans="1:25" x14ac:dyDescent="0.3">
      <c r="A23" s="1" t="s">
        <v>20</v>
      </c>
      <c r="B23" s="1">
        <v>20030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28.5</v>
      </c>
      <c r="H23" s="1">
        <v>42.3</v>
      </c>
      <c r="I23" s="1">
        <v>52.3</v>
      </c>
      <c r="J23" s="1">
        <v>-1</v>
      </c>
      <c r="K23" s="1">
        <v>-1</v>
      </c>
      <c r="L23" s="1">
        <v>-1</v>
      </c>
      <c r="M23" s="1">
        <v>58.3</v>
      </c>
      <c r="N23" s="1">
        <v>85.4</v>
      </c>
      <c r="O23" s="1">
        <v>106.1</v>
      </c>
      <c r="P23" s="1">
        <v>28.5</v>
      </c>
      <c r="Q23" s="1">
        <v>42.3</v>
      </c>
      <c r="R23" s="1">
        <v>52.3</v>
      </c>
      <c r="S23" s="1">
        <v>85.4</v>
      </c>
      <c r="T23" s="1">
        <v>106.1</v>
      </c>
      <c r="U23" s="1">
        <v>42.3</v>
      </c>
      <c r="V23" s="1">
        <v>52.3</v>
      </c>
      <c r="W23" s="1">
        <v>52.3</v>
      </c>
      <c r="X23" s="26">
        <v>45071</v>
      </c>
      <c r="Y23" s="1" t="str">
        <f t="shared" si="0"/>
        <v>2023-05-25</v>
      </c>
    </row>
    <row r="24" spans="1:25" x14ac:dyDescent="0.3">
      <c r="A24" s="1" t="s">
        <v>21</v>
      </c>
      <c r="B24" s="1">
        <v>20032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29.1</v>
      </c>
      <c r="H24" s="1">
        <v>43.3</v>
      </c>
      <c r="I24" s="1">
        <v>53.7</v>
      </c>
      <c r="J24" s="1">
        <v>-1</v>
      </c>
      <c r="K24" s="1">
        <v>-1</v>
      </c>
      <c r="L24" s="1">
        <v>-1</v>
      </c>
      <c r="M24" s="1">
        <v>59</v>
      </c>
      <c r="N24" s="1">
        <v>87.6</v>
      </c>
      <c r="O24" s="1">
        <v>108.8</v>
      </c>
      <c r="P24" s="1">
        <v>29.1</v>
      </c>
      <c r="Q24" s="1">
        <v>43.3</v>
      </c>
      <c r="R24" s="1">
        <v>53.7</v>
      </c>
      <c r="S24" s="1">
        <v>87.6</v>
      </c>
      <c r="T24" s="1">
        <v>108.8</v>
      </c>
      <c r="U24" s="1">
        <v>43.3</v>
      </c>
      <c r="V24" s="1">
        <v>53.7</v>
      </c>
      <c r="W24" s="1">
        <v>53.7</v>
      </c>
      <c r="X24" s="26">
        <v>45085</v>
      </c>
      <c r="Y24" s="1" t="str">
        <f t="shared" si="0"/>
        <v>2023-06-08</v>
      </c>
    </row>
    <row r="25" spans="1:25" x14ac:dyDescent="0.3">
      <c r="A25" s="1" t="s">
        <v>22</v>
      </c>
      <c r="B25" s="1">
        <v>20034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30.7</v>
      </c>
      <c r="H25" s="1">
        <v>45.5</v>
      </c>
      <c r="I25" s="1">
        <v>57</v>
      </c>
      <c r="J25" s="1">
        <v>-1</v>
      </c>
      <c r="K25" s="1">
        <v>-1</v>
      </c>
      <c r="L25" s="1">
        <v>-1</v>
      </c>
      <c r="M25" s="1">
        <v>62.5</v>
      </c>
      <c r="N25" s="1">
        <v>92.1</v>
      </c>
      <c r="O25" s="1">
        <v>115.1</v>
      </c>
      <c r="P25" s="1">
        <v>30.7</v>
      </c>
      <c r="Q25" s="1">
        <v>45.5</v>
      </c>
      <c r="R25" s="1">
        <v>57</v>
      </c>
      <c r="S25" s="1">
        <v>92.1</v>
      </c>
      <c r="T25" s="1">
        <v>115.1</v>
      </c>
      <c r="U25" s="1">
        <v>45.5</v>
      </c>
      <c r="V25" s="1">
        <v>57</v>
      </c>
      <c r="W25" s="1">
        <v>57</v>
      </c>
      <c r="X25" s="26">
        <v>45099</v>
      </c>
      <c r="Y25" s="1" t="str">
        <f t="shared" si="0"/>
        <v>2023-06-22</v>
      </c>
    </row>
    <row r="26" spans="1:25" x14ac:dyDescent="0.3">
      <c r="A26" s="1" t="s">
        <v>23</v>
      </c>
      <c r="B26" s="1">
        <v>20036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33.799999999999997</v>
      </c>
      <c r="H26" s="1">
        <v>50.1</v>
      </c>
      <c r="I26" s="1">
        <v>61.4</v>
      </c>
      <c r="J26" s="1">
        <v>-1</v>
      </c>
      <c r="K26" s="1">
        <v>-1</v>
      </c>
      <c r="L26" s="1">
        <v>-1</v>
      </c>
      <c r="M26" s="1">
        <v>67.900000000000006</v>
      </c>
      <c r="N26" s="1">
        <v>101.3</v>
      </c>
      <c r="O26" s="1">
        <v>124.4</v>
      </c>
      <c r="P26" s="1">
        <v>33.799999999999997</v>
      </c>
      <c r="Q26" s="1">
        <v>50.1</v>
      </c>
      <c r="R26" s="1">
        <v>61.4</v>
      </c>
      <c r="S26" s="1">
        <v>101.3</v>
      </c>
      <c r="T26" s="1">
        <v>124.4</v>
      </c>
      <c r="U26" s="1">
        <v>50.1</v>
      </c>
      <c r="V26" s="1">
        <v>61.4</v>
      </c>
      <c r="W26" s="1">
        <v>61.4</v>
      </c>
      <c r="X26" s="26">
        <v>45091</v>
      </c>
      <c r="Y26" s="1" t="str">
        <f t="shared" si="0"/>
        <v>2023-06-14</v>
      </c>
    </row>
    <row r="27" spans="1:25" x14ac:dyDescent="0.3">
      <c r="A27" s="1" t="s">
        <v>24</v>
      </c>
      <c r="B27" s="1">
        <v>20038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34.700000000000003</v>
      </c>
      <c r="H27" s="1">
        <v>52.3</v>
      </c>
      <c r="I27" s="1">
        <v>63.6</v>
      </c>
      <c r="J27" s="1">
        <v>-1</v>
      </c>
      <c r="K27" s="1">
        <v>-1</v>
      </c>
      <c r="L27" s="1">
        <v>-1</v>
      </c>
      <c r="M27" s="1">
        <v>70.8</v>
      </c>
      <c r="N27" s="1">
        <v>106.1</v>
      </c>
      <c r="O27" s="1">
        <v>128.6</v>
      </c>
      <c r="P27" s="1">
        <v>34.700000000000003</v>
      </c>
      <c r="Q27" s="1">
        <v>52.3</v>
      </c>
      <c r="R27" s="1">
        <v>63.6</v>
      </c>
      <c r="S27" s="1">
        <v>106.1</v>
      </c>
      <c r="T27" s="1">
        <v>128.6</v>
      </c>
      <c r="U27" s="1">
        <v>52.3</v>
      </c>
      <c r="V27" s="1">
        <v>63.6</v>
      </c>
      <c r="W27" s="1">
        <v>63.6</v>
      </c>
      <c r="X27" s="26">
        <v>45079</v>
      </c>
      <c r="Y27" s="1" t="str">
        <f t="shared" si="0"/>
        <v>2023-06-02</v>
      </c>
    </row>
    <row r="28" spans="1:25" x14ac:dyDescent="0.3">
      <c r="A28" s="1" t="s">
        <v>25</v>
      </c>
      <c r="B28" s="1">
        <v>20040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36.5</v>
      </c>
      <c r="H28" s="1">
        <v>54.6</v>
      </c>
      <c r="I28" s="1">
        <v>65.900000000000006</v>
      </c>
      <c r="J28" s="1">
        <v>-1</v>
      </c>
      <c r="K28" s="1">
        <v>-1</v>
      </c>
      <c r="L28" s="1">
        <v>-1</v>
      </c>
      <c r="M28" s="1">
        <v>73.900000000000006</v>
      </c>
      <c r="N28" s="1">
        <v>110.3</v>
      </c>
      <c r="O28" s="1">
        <v>133.4</v>
      </c>
      <c r="P28" s="1">
        <v>36.5</v>
      </c>
      <c r="Q28" s="1">
        <v>54.6</v>
      </c>
      <c r="R28" s="1">
        <v>65.900000000000006</v>
      </c>
      <c r="S28" s="1">
        <v>110.3</v>
      </c>
      <c r="T28" s="1">
        <v>133.4</v>
      </c>
      <c r="U28" s="1">
        <v>54.6</v>
      </c>
      <c r="V28" s="1">
        <v>65.900000000000006</v>
      </c>
      <c r="W28" s="1">
        <v>65.900000000000006</v>
      </c>
      <c r="X28" s="26">
        <v>45075</v>
      </c>
      <c r="Y28" s="1" t="str">
        <f t="shared" si="0"/>
        <v>2023-05-29</v>
      </c>
    </row>
    <row r="29" spans="1:25" x14ac:dyDescent="0.3">
      <c r="A29" s="1" t="s">
        <v>41</v>
      </c>
      <c r="B29" s="1">
        <v>20042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38</v>
      </c>
      <c r="H29" s="1">
        <v>57.2</v>
      </c>
      <c r="I29" s="1">
        <v>68.7</v>
      </c>
      <c r="J29" s="1">
        <v>-1</v>
      </c>
      <c r="K29" s="1">
        <v>-1</v>
      </c>
      <c r="L29" s="1">
        <v>-1</v>
      </c>
      <c r="M29" s="1">
        <v>76.599999999999994</v>
      </c>
      <c r="N29" s="1">
        <v>115.5</v>
      </c>
      <c r="O29" s="1">
        <v>138.80000000000001</v>
      </c>
      <c r="P29" s="1">
        <v>38</v>
      </c>
      <c r="Q29" s="1">
        <v>57.2</v>
      </c>
      <c r="R29" s="1">
        <v>68.7</v>
      </c>
      <c r="S29" s="1">
        <v>115.5</v>
      </c>
      <c r="T29" s="1">
        <v>138.80000000000001</v>
      </c>
      <c r="U29" s="1">
        <v>57.2</v>
      </c>
      <c r="V29" s="1">
        <v>68.7</v>
      </c>
      <c r="W29" s="1">
        <v>68.7</v>
      </c>
      <c r="X29" s="26">
        <v>45110</v>
      </c>
      <c r="Y29" s="1" t="str">
        <f t="shared" si="0"/>
        <v>2023-07-03</v>
      </c>
    </row>
    <row r="30" spans="1:25" x14ac:dyDescent="0.3">
      <c r="A30" s="1" t="s">
        <v>26</v>
      </c>
      <c r="B30" s="1">
        <v>20044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38.700000000000003</v>
      </c>
      <c r="H30" s="1">
        <v>59.2</v>
      </c>
      <c r="I30" s="1">
        <v>70.400000000000006</v>
      </c>
      <c r="J30" s="1">
        <v>-1</v>
      </c>
      <c r="K30" s="1">
        <v>-1</v>
      </c>
      <c r="L30" s="1">
        <v>-1</v>
      </c>
      <c r="M30" s="1">
        <v>78.599999999999994</v>
      </c>
      <c r="N30" s="1">
        <v>119.4</v>
      </c>
      <c r="O30" s="1">
        <v>142.5</v>
      </c>
      <c r="P30" s="1">
        <v>38.700000000000003</v>
      </c>
      <c r="Q30" s="1">
        <v>59.2</v>
      </c>
      <c r="R30" s="1">
        <v>70.400000000000006</v>
      </c>
      <c r="S30" s="1">
        <v>119.4</v>
      </c>
      <c r="T30" s="1">
        <v>142.5</v>
      </c>
      <c r="U30" s="1">
        <v>59.2</v>
      </c>
      <c r="V30" s="1">
        <v>70.400000000000006</v>
      </c>
      <c r="W30" s="1">
        <v>70.400000000000006</v>
      </c>
      <c r="X30" s="26">
        <v>45114</v>
      </c>
      <c r="Y30" s="1" t="str">
        <f t="shared" si="0"/>
        <v>2023-07-07</v>
      </c>
    </row>
    <row r="31" spans="1:25" x14ac:dyDescent="0.3">
      <c r="A31" s="1" t="s">
        <v>27</v>
      </c>
      <c r="B31" s="1">
        <v>20046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40.1</v>
      </c>
      <c r="H31" s="1">
        <v>59.2</v>
      </c>
      <c r="I31" s="1">
        <v>72.8</v>
      </c>
      <c r="J31" s="1">
        <v>-1</v>
      </c>
      <c r="K31" s="1">
        <v>-1</v>
      </c>
      <c r="L31" s="1">
        <v>-1</v>
      </c>
      <c r="M31" s="1">
        <v>80.8</v>
      </c>
      <c r="N31" s="1">
        <v>119.4</v>
      </c>
      <c r="O31" s="1">
        <v>146.80000000000001</v>
      </c>
      <c r="P31" s="1">
        <v>40.1</v>
      </c>
      <c r="Q31" s="1">
        <v>59.2</v>
      </c>
      <c r="R31" s="1">
        <v>72.8</v>
      </c>
      <c r="S31" s="1">
        <v>119.4</v>
      </c>
      <c r="T31" s="1">
        <v>146.80000000000001</v>
      </c>
      <c r="U31" s="1">
        <v>59.2</v>
      </c>
      <c r="V31" s="1">
        <v>72.8</v>
      </c>
      <c r="W31" s="1">
        <v>72.8</v>
      </c>
      <c r="X31" s="26">
        <v>45118</v>
      </c>
      <c r="Y31" s="1" t="str">
        <f t="shared" si="0"/>
        <v>2023-07-11</v>
      </c>
    </row>
    <row r="32" spans="1:25" x14ac:dyDescent="0.3">
      <c r="A32" s="1" t="s">
        <v>28</v>
      </c>
      <c r="B32" s="1">
        <v>20048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26">
        <v>45142</v>
      </c>
      <c r="Y32" s="1" t="str">
        <f t="shared" si="0"/>
        <v>2023-08-04</v>
      </c>
    </row>
    <row r="33" spans="1:25" x14ac:dyDescent="0.3">
      <c r="A33" s="1" t="s">
        <v>57</v>
      </c>
      <c r="B33" s="1">
        <v>20050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41.3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83.5</v>
      </c>
      <c r="N33" s="1">
        <v>124.4</v>
      </c>
      <c r="O33" s="1">
        <v>151.5</v>
      </c>
      <c r="P33" s="1">
        <v>41.3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26">
        <v>45146</v>
      </c>
      <c r="Y33" s="1" t="str">
        <f t="shared" si="0"/>
        <v>2023-08-08</v>
      </c>
    </row>
    <row r="34" spans="1:25" x14ac:dyDescent="0.3">
      <c r="A34" s="1" t="s">
        <v>29</v>
      </c>
      <c r="B34" s="1">
        <v>20052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42.3</v>
      </c>
      <c r="H34" s="1">
        <v>61.4</v>
      </c>
      <c r="I34" s="1">
        <v>75</v>
      </c>
      <c r="J34" s="1">
        <v>-1</v>
      </c>
      <c r="K34" s="1">
        <v>-1</v>
      </c>
      <c r="L34" s="1">
        <v>-1</v>
      </c>
      <c r="M34" s="1">
        <v>85.4</v>
      </c>
      <c r="N34" s="1">
        <v>124.4</v>
      </c>
      <c r="O34" s="1">
        <v>151.5</v>
      </c>
      <c r="P34" s="1">
        <v>42.3</v>
      </c>
      <c r="Q34" s="1">
        <v>61.4</v>
      </c>
      <c r="R34" s="1">
        <v>75</v>
      </c>
      <c r="S34" s="1">
        <v>124.4</v>
      </c>
      <c r="T34" s="1">
        <v>151.5</v>
      </c>
      <c r="U34" s="1">
        <v>61.4</v>
      </c>
      <c r="V34" s="1">
        <v>75</v>
      </c>
      <c r="W34" s="1">
        <v>75</v>
      </c>
      <c r="X34" s="26">
        <v>45108</v>
      </c>
      <c r="Y34" s="1" t="str">
        <f t="shared" si="0"/>
        <v>2023-07-01</v>
      </c>
    </row>
    <row r="35" spans="1:25" x14ac:dyDescent="0.3">
      <c r="A35" s="1" t="s">
        <v>30</v>
      </c>
      <c r="B35" s="1">
        <v>20054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43.3</v>
      </c>
      <c r="H35" s="1">
        <v>63.6</v>
      </c>
      <c r="I35" s="1">
        <v>77.2</v>
      </c>
      <c r="J35" s="1">
        <v>-1</v>
      </c>
      <c r="K35" s="1">
        <v>-1</v>
      </c>
      <c r="L35" s="1">
        <v>-1</v>
      </c>
      <c r="M35" s="1">
        <v>87.6</v>
      </c>
      <c r="N35" s="1">
        <v>128.6</v>
      </c>
      <c r="O35" s="1">
        <v>156.4</v>
      </c>
      <c r="P35" s="1">
        <v>43.3</v>
      </c>
      <c r="Q35" s="1">
        <v>63.6</v>
      </c>
      <c r="R35" s="1">
        <v>77.2</v>
      </c>
      <c r="S35" s="1">
        <v>128.6</v>
      </c>
      <c r="T35" s="1">
        <v>156.4</v>
      </c>
      <c r="U35" s="1">
        <v>63.6</v>
      </c>
      <c r="V35" s="1">
        <v>77.2</v>
      </c>
      <c r="W35" s="1">
        <v>77.2</v>
      </c>
      <c r="X35" s="26">
        <v>45153</v>
      </c>
      <c r="Y35" s="1" t="str">
        <f t="shared" si="0"/>
        <v>2023-08-15</v>
      </c>
    </row>
    <row r="36" spans="1:25" x14ac:dyDescent="0.3">
      <c r="A36" s="1" t="s">
        <v>58</v>
      </c>
      <c r="B36" s="1">
        <v>20058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-1</v>
      </c>
      <c r="H36" s="1">
        <v>-1</v>
      </c>
      <c r="I36" s="1">
        <v>-1</v>
      </c>
      <c r="J36" s="1">
        <v>-1</v>
      </c>
      <c r="K36" s="1">
        <v>-1</v>
      </c>
      <c r="L36" s="1">
        <v>-1</v>
      </c>
      <c r="M36" s="1">
        <v>-1</v>
      </c>
      <c r="N36" s="1">
        <v>-1</v>
      </c>
      <c r="O36" s="1">
        <v>-1</v>
      </c>
      <c r="P36" s="1">
        <v>-1</v>
      </c>
      <c r="Q36" s="1">
        <v>-1</v>
      </c>
      <c r="R36" s="1">
        <v>-1</v>
      </c>
      <c r="S36" s="1">
        <v>-1</v>
      </c>
      <c r="T36" s="1">
        <v>-1</v>
      </c>
      <c r="U36" s="1">
        <v>-1</v>
      </c>
      <c r="V36" s="1">
        <v>-1</v>
      </c>
      <c r="W36" s="1">
        <v>-1</v>
      </c>
      <c r="X36" s="26">
        <v>45150</v>
      </c>
      <c r="Y36" s="1" t="str">
        <f t="shared" si="0"/>
        <v>2023-08-12</v>
      </c>
    </row>
    <row r="37" spans="1:25" x14ac:dyDescent="0.3">
      <c r="A37" s="1" t="s">
        <v>31</v>
      </c>
      <c r="B37" s="1">
        <v>20060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45</v>
      </c>
      <c r="H37" s="1">
        <v>65.900000000000006</v>
      </c>
      <c r="I37" s="1">
        <v>79.400000000000006</v>
      </c>
      <c r="J37" s="1">
        <v>-1</v>
      </c>
      <c r="K37" s="1">
        <v>-1</v>
      </c>
      <c r="L37" s="1">
        <v>-1</v>
      </c>
      <c r="M37" s="1">
        <v>90.9</v>
      </c>
      <c r="N37" s="1">
        <v>133.4</v>
      </c>
      <c r="O37" s="1">
        <v>160.9</v>
      </c>
      <c r="P37" s="1">
        <v>45</v>
      </c>
      <c r="Q37" s="1">
        <v>65.900000000000006</v>
      </c>
      <c r="R37" s="1">
        <v>79.400000000000006</v>
      </c>
      <c r="S37" s="1">
        <v>133.4</v>
      </c>
      <c r="T37" s="1">
        <v>160.9</v>
      </c>
      <c r="U37" s="1">
        <v>65.900000000000006</v>
      </c>
      <c r="V37" s="1">
        <v>79.400000000000006</v>
      </c>
      <c r="W37" s="1">
        <v>79.400000000000006</v>
      </c>
      <c r="X37" s="26">
        <v>45157</v>
      </c>
      <c r="Y37" s="1" t="str">
        <f t="shared" si="0"/>
        <v>2023-08-19</v>
      </c>
    </row>
    <row r="38" spans="1:25" x14ac:dyDescent="0.3">
      <c r="A38" s="1" t="s">
        <v>32</v>
      </c>
      <c r="B38" s="1">
        <v>21000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-1</v>
      </c>
      <c r="H38" s="1">
        <v>-1</v>
      </c>
      <c r="I38" s="1">
        <v>-1</v>
      </c>
      <c r="J38" s="1">
        <v>-1</v>
      </c>
      <c r="K38" s="1">
        <v>-1</v>
      </c>
      <c r="L38" s="1">
        <v>-1</v>
      </c>
      <c r="M38" s="1">
        <v>-1</v>
      </c>
      <c r="N38" s="1">
        <v>-1</v>
      </c>
      <c r="O38" s="1">
        <v>-1</v>
      </c>
      <c r="P38" s="1">
        <v>-1</v>
      </c>
      <c r="Q38" s="1">
        <v>-1</v>
      </c>
      <c r="R38" s="1">
        <v>-1</v>
      </c>
      <c r="S38" s="1">
        <v>-1</v>
      </c>
      <c r="T38" s="1">
        <v>-1</v>
      </c>
      <c r="U38" s="1">
        <v>-1</v>
      </c>
      <c r="V38" s="1">
        <v>-1</v>
      </c>
      <c r="W38" s="1">
        <v>-1</v>
      </c>
      <c r="X38" s="26">
        <v>45143</v>
      </c>
      <c r="Y38" s="1" t="str">
        <f t="shared" si="0"/>
        <v>2023-08-05</v>
      </c>
    </row>
    <row r="39" spans="1:25" x14ac:dyDescent="0.3">
      <c r="A39" s="1" t="s">
        <v>33</v>
      </c>
      <c r="B39" s="1">
        <v>21002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41.5</v>
      </c>
      <c r="H39" s="1">
        <v>61.4</v>
      </c>
      <c r="I39" s="1">
        <v>75</v>
      </c>
      <c r="J39" s="1">
        <v>-1</v>
      </c>
      <c r="K39" s="1">
        <v>-1</v>
      </c>
      <c r="L39" s="1">
        <v>-1</v>
      </c>
      <c r="M39" s="1">
        <v>84.6</v>
      </c>
      <c r="N39" s="1">
        <v>124.4</v>
      </c>
      <c r="O39" s="1">
        <v>151.5</v>
      </c>
      <c r="P39" s="1">
        <v>41.5</v>
      </c>
      <c r="Q39" s="1">
        <v>61.4</v>
      </c>
      <c r="R39" s="1">
        <v>75</v>
      </c>
      <c r="S39" s="1">
        <v>124.4</v>
      </c>
      <c r="T39" s="1">
        <v>151.5</v>
      </c>
      <c r="U39" s="1">
        <v>61.4</v>
      </c>
      <c r="V39" s="1">
        <v>75</v>
      </c>
      <c r="W39" s="1">
        <v>75</v>
      </c>
      <c r="X39" s="26">
        <v>45166</v>
      </c>
      <c r="Y39" s="1" t="str">
        <f t="shared" si="0"/>
        <v>2023-08-28</v>
      </c>
    </row>
    <row r="40" spans="1:25" x14ac:dyDescent="0.3">
      <c r="A40" s="1" t="s">
        <v>34</v>
      </c>
      <c r="B40" s="1">
        <v>21004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43.3</v>
      </c>
      <c r="H40" s="1">
        <v>63.6</v>
      </c>
      <c r="I40" s="1">
        <v>79.400000000000006</v>
      </c>
      <c r="J40" s="1">
        <v>-1</v>
      </c>
      <c r="K40" s="1">
        <v>-1</v>
      </c>
      <c r="L40" s="1">
        <v>-1</v>
      </c>
      <c r="M40" s="1">
        <v>87.6</v>
      </c>
      <c r="N40" s="1">
        <v>128.6</v>
      </c>
      <c r="O40" s="1">
        <v>160.9</v>
      </c>
      <c r="P40" s="1">
        <v>43.3</v>
      </c>
      <c r="Q40" s="1">
        <v>63.6</v>
      </c>
      <c r="R40" s="1">
        <v>79.400000000000006</v>
      </c>
      <c r="S40" s="1">
        <v>128.6</v>
      </c>
      <c r="T40" s="1">
        <v>160.9</v>
      </c>
      <c r="U40" s="1">
        <v>63.6</v>
      </c>
      <c r="V40" s="1">
        <v>79.400000000000006</v>
      </c>
      <c r="W40" s="1">
        <v>79.400000000000006</v>
      </c>
      <c r="X40" s="26">
        <v>45162</v>
      </c>
      <c r="Y40" s="1" t="str">
        <f t="shared" si="0"/>
        <v>2023-08-24</v>
      </c>
    </row>
    <row r="41" spans="1:25" x14ac:dyDescent="0.3">
      <c r="A41" s="1" t="s">
        <v>35</v>
      </c>
      <c r="B41" s="1">
        <v>21006</v>
      </c>
      <c r="C41" s="1" t="s">
        <v>5</v>
      </c>
      <c r="D41" s="23">
        <v>0</v>
      </c>
      <c r="E41" s="1" t="s">
        <v>6</v>
      </c>
      <c r="F41" s="23">
        <v>0.99998842592592596</v>
      </c>
      <c r="G41" s="1">
        <v>44.5</v>
      </c>
      <c r="H41" s="1">
        <v>65.900000000000006</v>
      </c>
      <c r="I41" s="1">
        <v>81.8</v>
      </c>
      <c r="J41" s="1">
        <v>-1</v>
      </c>
      <c r="K41" s="1">
        <v>-1</v>
      </c>
      <c r="L41" s="1">
        <v>-1</v>
      </c>
      <c r="M41" s="1">
        <v>89.9</v>
      </c>
      <c r="N41" s="1">
        <v>133.4</v>
      </c>
      <c r="O41" s="1">
        <v>165.3</v>
      </c>
      <c r="P41" s="1">
        <v>44.5</v>
      </c>
      <c r="Q41" s="1">
        <v>65.900000000000006</v>
      </c>
      <c r="R41" s="1">
        <v>81.8</v>
      </c>
      <c r="S41" s="1">
        <v>133.4</v>
      </c>
      <c r="T41" s="1">
        <v>165.3</v>
      </c>
      <c r="U41" s="1">
        <v>65.900000000000006</v>
      </c>
      <c r="V41" s="1">
        <v>81.8</v>
      </c>
      <c r="W41" s="1">
        <v>81.8</v>
      </c>
      <c r="X41" s="26">
        <v>45160</v>
      </c>
      <c r="Y41" s="1" t="str">
        <f t="shared" si="0"/>
        <v>2023-08-22</v>
      </c>
    </row>
    <row r="42" spans="1:25" x14ac:dyDescent="0.3">
      <c r="A42" s="1" t="s">
        <v>36</v>
      </c>
      <c r="B42" s="1">
        <v>21008</v>
      </c>
      <c r="C42" s="1" t="s">
        <v>5</v>
      </c>
      <c r="D42" s="23">
        <v>0</v>
      </c>
      <c r="E42" s="1" t="s">
        <v>6</v>
      </c>
      <c r="F42" s="23">
        <v>0.99998842592592596</v>
      </c>
      <c r="G42" s="1">
        <v>47.3</v>
      </c>
      <c r="H42" s="1">
        <v>70.400000000000006</v>
      </c>
      <c r="I42" s="1">
        <v>86.4</v>
      </c>
      <c r="J42" s="1">
        <v>-1</v>
      </c>
      <c r="K42" s="1">
        <v>-1</v>
      </c>
      <c r="L42" s="1">
        <v>-1</v>
      </c>
      <c r="M42" s="1">
        <v>95.6</v>
      </c>
      <c r="N42" s="1">
        <v>142.5</v>
      </c>
      <c r="O42" s="1">
        <v>174.2</v>
      </c>
      <c r="P42" s="1">
        <v>47.3</v>
      </c>
      <c r="Q42" s="1">
        <v>70.400000000000006</v>
      </c>
      <c r="R42" s="1">
        <v>86.4</v>
      </c>
      <c r="S42" s="1">
        <v>142.5</v>
      </c>
      <c r="T42" s="1">
        <v>174.2</v>
      </c>
      <c r="U42" s="1">
        <v>70.400000000000006</v>
      </c>
      <c r="V42" s="1">
        <v>86.4</v>
      </c>
      <c r="W42" s="1">
        <v>86.4</v>
      </c>
      <c r="X42" s="26">
        <v>45179</v>
      </c>
      <c r="Y42" s="1" t="str">
        <f t="shared" si="0"/>
        <v>2023-09-10</v>
      </c>
    </row>
    <row r="43" spans="1:25" x14ac:dyDescent="0.3">
      <c r="A43" s="1" t="s">
        <v>42</v>
      </c>
      <c r="B43" s="1">
        <v>21010</v>
      </c>
      <c r="C43" s="1" t="s">
        <v>5</v>
      </c>
      <c r="D43" s="23">
        <v>0</v>
      </c>
      <c r="E43" s="1" t="s">
        <v>6</v>
      </c>
      <c r="F43" s="23">
        <v>0.99998842592592596</v>
      </c>
      <c r="G43" s="1">
        <v>48.3</v>
      </c>
      <c r="H43" s="1">
        <v>72</v>
      </c>
      <c r="I43" s="1">
        <v>89</v>
      </c>
      <c r="J43" s="1">
        <v>-1</v>
      </c>
      <c r="K43" s="1">
        <v>-1</v>
      </c>
      <c r="L43" s="1">
        <v>-1</v>
      </c>
      <c r="M43" s="1">
        <v>97.9</v>
      </c>
      <c r="N43" s="1">
        <v>145.5</v>
      </c>
      <c r="O43" s="1">
        <v>179.8</v>
      </c>
      <c r="P43" s="1">
        <v>48.3</v>
      </c>
      <c r="Q43" s="1">
        <v>72</v>
      </c>
      <c r="R43" s="1">
        <v>89</v>
      </c>
      <c r="S43" s="1">
        <v>145.5</v>
      </c>
      <c r="T43" s="1">
        <v>179.8</v>
      </c>
      <c r="U43" s="1">
        <v>72</v>
      </c>
      <c r="V43" s="1">
        <v>89</v>
      </c>
      <c r="W43" s="1">
        <v>89</v>
      </c>
      <c r="X43" s="26">
        <v>45157</v>
      </c>
      <c r="Y43" s="1" t="str">
        <f t="shared" si="0"/>
        <v>2023-08-19</v>
      </c>
    </row>
    <row r="44" spans="1:25" x14ac:dyDescent="0.3">
      <c r="A44" s="1" t="s">
        <v>37</v>
      </c>
      <c r="B44" s="1">
        <v>21012</v>
      </c>
      <c r="C44" s="1" t="s">
        <v>5</v>
      </c>
      <c r="D44" s="23">
        <v>0</v>
      </c>
      <c r="E44" s="1" t="s">
        <v>6</v>
      </c>
      <c r="F44" s="23">
        <v>0.99998842592592596</v>
      </c>
      <c r="G44" s="1">
        <v>49.1</v>
      </c>
      <c r="H44" s="1">
        <v>72.8</v>
      </c>
      <c r="I44" s="1">
        <v>90.9</v>
      </c>
      <c r="J44" s="1">
        <v>-1</v>
      </c>
      <c r="K44" s="1">
        <v>-1</v>
      </c>
      <c r="L44" s="1">
        <v>-1</v>
      </c>
      <c r="M44" s="1">
        <v>99.5</v>
      </c>
      <c r="N44" s="1">
        <v>146.80000000000001</v>
      </c>
      <c r="O44" s="1">
        <v>183.5</v>
      </c>
      <c r="P44" s="1">
        <v>49.1</v>
      </c>
      <c r="Q44" s="1">
        <v>72.8</v>
      </c>
      <c r="R44" s="1">
        <v>90.9</v>
      </c>
      <c r="S44" s="1">
        <v>146.80000000000001</v>
      </c>
      <c r="T44" s="1">
        <v>183.5</v>
      </c>
      <c r="U44" s="1">
        <v>72.8</v>
      </c>
      <c r="V44" s="1">
        <v>90.9</v>
      </c>
      <c r="W44" s="1">
        <v>90.9</v>
      </c>
      <c r="X44" s="26">
        <v>45143</v>
      </c>
      <c r="Y44" s="1" t="str">
        <f t="shared" si="0"/>
        <v>2023-08-05</v>
      </c>
    </row>
    <row r="45" spans="1:25" x14ac:dyDescent="0.3">
      <c r="A45" s="1" t="s">
        <v>38</v>
      </c>
      <c r="B45" s="1">
        <v>21014</v>
      </c>
      <c r="C45" s="1" t="s">
        <v>5</v>
      </c>
      <c r="D45" s="23">
        <v>0</v>
      </c>
      <c r="E45" s="1" t="s">
        <v>6</v>
      </c>
      <c r="F45" s="23">
        <v>0.99998842592592596</v>
      </c>
      <c r="G45" s="1">
        <v>50.6</v>
      </c>
      <c r="H45" s="1">
        <v>75</v>
      </c>
      <c r="I45" s="1">
        <v>93.1</v>
      </c>
      <c r="J45" s="1">
        <v>-1</v>
      </c>
      <c r="K45" s="1">
        <v>-1</v>
      </c>
      <c r="L45" s="1">
        <v>-1</v>
      </c>
      <c r="M45" s="1">
        <v>102.6</v>
      </c>
      <c r="N45" s="1">
        <v>151.5</v>
      </c>
      <c r="O45" s="1">
        <v>188.1</v>
      </c>
      <c r="P45" s="1">
        <v>50.6</v>
      </c>
      <c r="Q45" s="1">
        <v>75</v>
      </c>
      <c r="R45" s="1">
        <v>93.1</v>
      </c>
      <c r="S45" s="1">
        <v>151.5</v>
      </c>
      <c r="T45" s="1">
        <v>188.1</v>
      </c>
      <c r="U45" s="1">
        <v>75</v>
      </c>
      <c r="V45" s="1">
        <v>93.1</v>
      </c>
      <c r="W45" s="1">
        <v>93.1</v>
      </c>
      <c r="X45" s="26">
        <v>45166</v>
      </c>
      <c r="Y45" s="1" t="str">
        <f t="shared" si="0"/>
        <v>2023-08-28</v>
      </c>
    </row>
    <row r="46" spans="1:25" x14ac:dyDescent="0.3">
      <c r="A46" s="1" t="s">
        <v>39</v>
      </c>
      <c r="B46" s="1">
        <v>21016</v>
      </c>
      <c r="C46" s="1" t="s">
        <v>5</v>
      </c>
      <c r="D46" s="23">
        <v>0</v>
      </c>
      <c r="E46" s="1" t="s">
        <v>6</v>
      </c>
      <c r="F46" s="23">
        <v>0.99998842592592596</v>
      </c>
      <c r="G46" s="1">
        <v>51.8</v>
      </c>
      <c r="H46" s="1">
        <v>77.2</v>
      </c>
      <c r="I46" s="1">
        <v>93.1</v>
      </c>
      <c r="J46" s="1">
        <v>-1</v>
      </c>
      <c r="K46" s="1">
        <v>-1</v>
      </c>
      <c r="L46" s="1">
        <v>-1</v>
      </c>
      <c r="M46" s="1">
        <v>104.5</v>
      </c>
      <c r="N46" s="1">
        <v>156.4</v>
      </c>
      <c r="O46" s="1">
        <v>188.1</v>
      </c>
      <c r="P46" s="1">
        <v>51.8</v>
      </c>
      <c r="Q46" s="1">
        <v>77.2</v>
      </c>
      <c r="R46" s="1">
        <v>93.1</v>
      </c>
      <c r="S46" s="1">
        <v>156.4</v>
      </c>
      <c r="T46" s="1">
        <v>188.1</v>
      </c>
      <c r="U46" s="1">
        <v>77.2</v>
      </c>
      <c r="V46" s="1">
        <v>93.1</v>
      </c>
      <c r="W46" s="1">
        <v>93.1</v>
      </c>
      <c r="X46" s="26">
        <v>45162</v>
      </c>
      <c r="Y46" s="1" t="str">
        <f t="shared" si="0"/>
        <v>2023-08-24</v>
      </c>
    </row>
  </sheetData>
  <conditionalFormatting sqref="A7:A46">
    <cfRule type="duplicateValues" dxfId="21" priority="5"/>
  </conditionalFormatting>
  <conditionalFormatting sqref="B7:B46">
    <cfRule type="duplicateValues" dxfId="20" priority="4"/>
  </conditionalFormatting>
  <conditionalFormatting sqref="A7:X46">
    <cfRule type="cellIs" dxfId="19" priority="1" operator="equal">
      <formula>0</formula>
    </cfRule>
    <cfRule type="cellIs" dxfId="18" priority="2" operator="equal">
      <formula>-1</formula>
    </cfRule>
    <cfRule type="cellIs" dxfId="17" priority="3" operator="equal">
      <formula>-1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7" zoomScaleNormal="100" workbookViewId="0">
      <selection activeCell="J25" sqref="J25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1" customFormat="1" ht="21" x14ac:dyDescent="0.4">
      <c r="A1" s="42" t="s">
        <v>55</v>
      </c>
      <c r="B1" s="41" t="s">
        <v>164</v>
      </c>
    </row>
    <row r="2" spans="1:7" s="41" customFormat="1" ht="21" x14ac:dyDescent="0.4">
      <c r="B2" s="41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7" t="s">
        <v>162</v>
      </c>
      <c r="B4" s="1"/>
      <c r="C4" s="1"/>
      <c r="D4" s="1"/>
      <c r="E4" s="1"/>
      <c r="F4" s="1"/>
      <c r="G4" s="1"/>
    </row>
    <row r="5" spans="1:7" ht="14.4" x14ac:dyDescent="0.3">
      <c r="A5" s="19" t="s">
        <v>182</v>
      </c>
      <c r="B5" s="20" t="s">
        <v>78</v>
      </c>
      <c r="C5" s="21" t="s">
        <v>70</v>
      </c>
      <c r="D5" s="20" t="s">
        <v>74</v>
      </c>
      <c r="E5" s="21" t="s">
        <v>75</v>
      </c>
      <c r="F5" s="22" t="s">
        <v>76</v>
      </c>
    </row>
    <row r="6" spans="1:7" ht="14.4" x14ac:dyDescent="0.3">
      <c r="A6" s="7" t="s">
        <v>40</v>
      </c>
      <c r="B6" s="11">
        <f>IF(ISBLANK(VLOOKUP(A6, Dataset!A:W, MATCH("car1", Dataset!$1:$1, 0), FALSE)), VLOOKUP(A6, Dataset!A:W, MATCH("car1", Dataset!$1:$1, 0), FALSE), INDEX(Dataset!$A$2:$W$50, MATCH(A6, Dataset!$A$2:$A$50, 0), MATCH("car1", Dataset!$A$1:$W$1, 0)))</f>
        <v>2.7</v>
      </c>
      <c r="C6" s="11">
        <f>IF(ISBLANK(VLOOKUP(A6, Dataset!A:W, MATCH("bus2", Dataset!$1:$1, 0), FALSE)), VLOOKUP(A6, Dataset!A:W, MATCH("bus2", Dataset!$1:$1, 0), FALSE), INDEX(Dataset!$A$2:$W$50, MATCH(A6, Dataset!$A$2:$A$50, 0), MATCH("bus2", Dataset!$A$1:$W$1, 0)))</f>
        <v>7.6</v>
      </c>
      <c r="D6" s="11">
        <f>IF(ISBLANK(VLOOKUP(A6, Dataset!A:W, MATCH("rv3", Dataset!$1:$1, 0), FALSE)), VLOOKUP(A6, Dataset!A:W, MATCH("rv3", Dataset!$1:$1, 0), FALSE), INDEX(Dataset!$A$2:$W$50, MATCH(A6, Dataset!$A$2:$A$50, 0), MATCH("rv3", Dataset!$A$1:$W$1, 0)))</f>
        <v>4.2</v>
      </c>
      <c r="E6" s="11">
        <f>IF(ISBLANK(VLOOKUP(A6, Dataset!A:W, MATCH("truck2", Dataset!$1:$1, 0), FALSE)), VLOOKUP(A6, Dataset!A:W, MATCH("truck2", Dataset!$1:$1, 0), FALSE), INDEX(Dataset!$A$2:$W$50, MATCH(A6, Dataset!$A$2:$A$50, 0), MATCH("truck2", Dataset!$A$1:$W$1, 0)))</f>
        <v>8.9</v>
      </c>
      <c r="F6" s="11">
        <f>IF(ISBLANK(VLOOKUP(A6, Dataset!A:W, MATCH("taxi2", Dataset!$1:$1, 0), FALSE)), VLOOKUP(A6, Dataset!A:W, MATCH("taxi2", Dataset!$1:$1, 0), FALSE), INDEX(Dataset!$A$2:$W$50, MATCH(A6, Dataset!$A$2:$A$50, 0), MATCH("taxi2", Dataset!$A$1:$W$1, 0)))</f>
        <v>4.2</v>
      </c>
    </row>
    <row r="7" spans="1:7" ht="14.4" x14ac:dyDescent="0.3">
      <c r="A7" s="7" t="s">
        <v>4</v>
      </c>
      <c r="B7" s="11">
        <f>IF(ISBLANK(VLOOKUP(A7, Dataset!A:W, MATCH("car1", Dataset!$1:$1, 0), FALSE)), VLOOKUP(A7, Dataset!A:W, MATCH("car1", Dataset!$1:$1, 0), FALSE), INDEX(Dataset!$A$2:$W$50, MATCH(A7, Dataset!$A$2:$A$50, 0), MATCH("car1", Dataset!$A$1:$W$1, 0)))</f>
        <v>2.7</v>
      </c>
      <c r="C7" s="11">
        <f>IF(ISBLANK(VLOOKUP(A7, Dataset!A:W, MATCH("bus2", Dataset!$1:$1, 0), FALSE)), VLOOKUP(A7, Dataset!A:W, MATCH("bus2", Dataset!$1:$1, 0), FALSE), INDEX(Dataset!$A$2:$W$50, MATCH(A7, Dataset!$A$2:$A$50, 0), MATCH("bus2", Dataset!$A$1:$W$1, 0)))</f>
        <v>7.6</v>
      </c>
      <c r="D7" s="11">
        <f>IF(ISBLANK(VLOOKUP(A7, Dataset!A:W, MATCH("rv3", Dataset!$1:$1, 0), FALSE)), VLOOKUP(A7, Dataset!A:W, MATCH("rv3", Dataset!$1:$1, 0), FALSE), INDEX(Dataset!$A$2:$W$50, MATCH(A7, Dataset!$A$2:$A$50, 0), MATCH("rv3", Dataset!$A$1:$W$1, 0)))</f>
        <v>4.2</v>
      </c>
      <c r="E7" s="11">
        <f>IF(ISBLANK(VLOOKUP(A7, Dataset!A:W, MATCH("truck2", Dataset!$1:$1, 0), FALSE)), VLOOKUP(A7, Dataset!A:W, MATCH("truck2", Dataset!$1:$1, 0), FALSE), INDEX(Dataset!$A$2:$W$50, MATCH(A7, Dataset!$A$2:$A$50, 0), MATCH("truck2", Dataset!$A$1:$W$1, 0)))</f>
        <v>8.9</v>
      </c>
      <c r="F7" s="11">
        <f>IF(ISBLANK(VLOOKUP(A7, Dataset!A:W, MATCH("taxi2", Dataset!$1:$1, 0), FALSE)), VLOOKUP(A7, Dataset!A:W, MATCH("taxi2", Dataset!$1:$1, 0), FALSE), INDEX(Dataset!$A$2:$W$50, MATCH(A7, Dataset!$A$2:$A$50, 0), MATCH("taxi2", Dataset!$A$1:$W$1, 0)))</f>
        <v>4.2</v>
      </c>
    </row>
    <row r="8" spans="1:7" ht="14.4" x14ac:dyDescent="0.3">
      <c r="A8" s="7" t="s">
        <v>7</v>
      </c>
      <c r="B8" s="11">
        <f>IF(ISBLANK(VLOOKUP(A8, Dataset!A:W, MATCH("car1", Dataset!$1:$1, 0), FALSE)), VLOOKUP(A8, Dataset!A:W, MATCH("car1", Dataset!$1:$1, 0), FALSE), INDEX(Dataset!$A$2:$W$50, MATCH(A8, Dataset!$A$2:$A$50, 0), MATCH("car1", Dataset!$A$1:$W$1, 0)))</f>
        <v>3.6</v>
      </c>
      <c r="C8" s="11">
        <f>IF(ISBLANK(VLOOKUP(A8, Dataset!A:W, MATCH("bus2", Dataset!$1:$1, 0), FALSE)), VLOOKUP(A8, Dataset!A:W, MATCH("bus2", Dataset!$1:$1, 0), FALSE), INDEX(Dataset!$A$2:$W$50, MATCH(A8, Dataset!$A$2:$A$50, 0), MATCH("bus2", Dataset!$A$1:$W$1, 0)))</f>
        <v>11.1</v>
      </c>
      <c r="D8" s="11">
        <f>IF(ISBLANK(VLOOKUP(A8, Dataset!A:W, MATCH("rv3", Dataset!$1:$1, 0), FALSE)), VLOOKUP(A8, Dataset!A:W, MATCH("rv3", Dataset!$1:$1, 0), FALSE), INDEX(Dataset!$A$2:$W$50, MATCH(A8, Dataset!$A$2:$A$50, 0), MATCH("rv3", Dataset!$A$1:$W$1, 0)))</f>
        <v>5.8</v>
      </c>
      <c r="E8" s="11">
        <f>IF(ISBLANK(VLOOKUP(A8, Dataset!A:W, MATCH("truck2", Dataset!$1:$1, 0), FALSE)), VLOOKUP(A8, Dataset!A:W, MATCH("truck2", Dataset!$1:$1, 0), FALSE), INDEX(Dataset!$A$2:$W$50, MATCH(A8, Dataset!$A$2:$A$50, 0), MATCH("truck2", Dataset!$A$1:$W$1, 0)))</f>
        <v>12.2</v>
      </c>
      <c r="F8" s="11">
        <f>IF(ISBLANK(VLOOKUP(A8, Dataset!A:W, MATCH("taxi2", Dataset!$1:$1, 0), FALSE)), VLOOKUP(A8, Dataset!A:W, MATCH("taxi2", Dataset!$1:$1, 0), FALSE), INDEX(Dataset!$A$2:$W$50, MATCH(A8, Dataset!$A$2:$A$50, 0), MATCH("taxi2", Dataset!$A$1:$W$1, 0)))</f>
        <v>5.8</v>
      </c>
    </row>
    <row r="9" spans="1:7" ht="14.4" x14ac:dyDescent="0.3">
      <c r="A9" s="7" t="s">
        <v>8</v>
      </c>
      <c r="B9" s="11">
        <f>IF(ISBLANK(VLOOKUP(A9, Dataset!A:W, MATCH("car1", Dataset!$1:$1, 0), FALSE)), VLOOKUP(A9, Dataset!A:W, MATCH("car1", Dataset!$1:$1, 0), FALSE), INDEX(Dataset!$A$2:$W$50, MATCH(A9, Dataset!$A$2:$A$50, 0), MATCH("car1", Dataset!$A$1:$W$1, 0)))</f>
        <v>4.9000000000000004</v>
      </c>
      <c r="C9" s="11">
        <f>IF(ISBLANK(VLOOKUP(A9, Dataset!A:W, MATCH("bus2", Dataset!$1:$1, 0), FALSE)), VLOOKUP(A9, Dataset!A:W, MATCH("bus2", Dataset!$1:$1, 0), FALSE), INDEX(Dataset!$A$2:$W$50, MATCH(A9, Dataset!$A$2:$A$50, 0), MATCH("bus2", Dataset!$A$1:$W$1, 0)))</f>
        <v>13.3</v>
      </c>
      <c r="D9" s="11">
        <f>IF(ISBLANK(VLOOKUP(A9, Dataset!A:W, MATCH("rv3", Dataset!$1:$1, 0), FALSE)), VLOOKUP(A9, Dataset!A:W, MATCH("rv3", Dataset!$1:$1, 0), FALSE), INDEX(Dataset!$A$2:$W$50, MATCH(A9, Dataset!$A$2:$A$50, 0), MATCH("rv3", Dataset!$A$1:$W$1, 0)))</f>
        <v>8.1</v>
      </c>
      <c r="E9" s="11">
        <f>IF(ISBLANK(VLOOKUP(A9, Dataset!A:W, MATCH("truck2", Dataset!$1:$1, 0), FALSE)), VLOOKUP(A9, Dataset!A:W, MATCH("truck2", Dataset!$1:$1, 0), FALSE), INDEX(Dataset!$A$2:$W$50, MATCH(A9, Dataset!$A$2:$A$50, 0), MATCH("truck2", Dataset!$A$1:$W$1, 0)))</f>
        <v>17</v>
      </c>
      <c r="F9" s="11">
        <f>IF(ISBLANK(VLOOKUP(A9, Dataset!A:W, MATCH("taxi2", Dataset!$1:$1, 0), FALSE)), VLOOKUP(A9, Dataset!A:W, MATCH("taxi2", Dataset!$1:$1, 0), FALSE), INDEX(Dataset!$A$2:$W$50, MATCH(A9, Dataset!$A$2:$A$50, 0), MATCH("taxi2", Dataset!$A$1:$W$1, 0)))</f>
        <v>8.1</v>
      </c>
    </row>
    <row r="10" spans="1:7" ht="14.4" x14ac:dyDescent="0.3">
      <c r="A10" s="7" t="s">
        <v>11</v>
      </c>
      <c r="B10" s="11">
        <f>IF(ISBLANK(VLOOKUP(A10, Dataset!A:W, MATCH("car1", Dataset!$1:$1, 0), FALSE)), VLOOKUP(A10, Dataset!A:W, MATCH("car1", Dataset!$1:$1, 0), FALSE), INDEX(Dataset!$A$2:$W$50, MATCH(A10, Dataset!$A$2:$A$50, 0), MATCH("car1", Dataset!$A$1:$W$1, 0)))</f>
        <v>9.4</v>
      </c>
      <c r="C10" s="11">
        <f>IF(ISBLANK(VLOOKUP(A10, Dataset!A:W, MATCH("bus2", Dataset!$1:$1, 0), FALSE)), VLOOKUP(A10, Dataset!A:W, MATCH("bus2", Dataset!$1:$1, 0), FALSE), INDEX(Dataset!$A$2:$W$50, MATCH(A10, Dataset!$A$2:$A$50, 0), MATCH("bus2", Dataset!$A$1:$W$1, 0)))</f>
        <v>28.3</v>
      </c>
      <c r="D10" s="11">
        <f>IF(ISBLANK(VLOOKUP(A10, Dataset!A:W, MATCH("rv3", Dataset!$1:$1, 0), FALSE)), VLOOKUP(A10, Dataset!A:W, MATCH("rv3", Dataset!$1:$1, 0), FALSE), INDEX(Dataset!$A$2:$W$50, MATCH(A10, Dataset!$A$2:$A$50, 0), MATCH("rv3", Dataset!$A$1:$W$1, 0)))</f>
        <v>16.100000000000001</v>
      </c>
      <c r="E10" s="11">
        <f>IF(ISBLANK(VLOOKUP(A10, Dataset!A:W, MATCH("truck2", Dataset!$1:$1, 0), FALSE)), VLOOKUP(A10, Dataset!A:W, MATCH("truck2", Dataset!$1:$1, 0), FALSE), INDEX(Dataset!$A$2:$W$50, MATCH(A10, Dataset!$A$2:$A$50, 0), MATCH("truck2", Dataset!$A$1:$W$1, 0)))</f>
        <v>32.799999999999997</v>
      </c>
      <c r="F10" s="11">
        <f>IF(ISBLANK(VLOOKUP(A10, Dataset!A:W, MATCH("taxi2", Dataset!$1:$1, 0), FALSE)), VLOOKUP(A10, Dataset!A:W, MATCH("taxi2", Dataset!$1:$1, 0), FALSE), INDEX(Dataset!$A$2:$W$50, MATCH(A10, Dataset!$A$2:$A$50, 0), MATCH("taxi2", Dataset!$A$1:$W$1, 0)))</f>
        <v>16.100000000000001</v>
      </c>
    </row>
    <row r="11" spans="1:7" ht="14.4" x14ac:dyDescent="0.3">
      <c r="A11" s="7" t="s">
        <v>12</v>
      </c>
      <c r="B11" s="11">
        <f>IF(ISBLANK(VLOOKUP(A11, Dataset!A:W, MATCH("car1", Dataset!$1:$1, 0), FALSE)), VLOOKUP(A11, Dataset!A:W, MATCH("car1", Dataset!$1:$1, 0), FALSE), INDEX(Dataset!$A$2:$W$50, MATCH(A11, Dataset!$A$2:$A$50, 0), MATCH("car1", Dataset!$A$1:$W$1, 0)))</f>
        <v>11.6</v>
      </c>
      <c r="C11" s="11">
        <f>IF(ISBLANK(VLOOKUP(A11, Dataset!A:W, MATCH("bus2", Dataset!$1:$1, 0), FALSE)), VLOOKUP(A11, Dataset!A:W, MATCH("bus2", Dataset!$1:$1, 0), FALSE), INDEX(Dataset!$A$2:$W$50, MATCH(A11, Dataset!$A$2:$A$50, 0), MATCH("bus2", Dataset!$A$1:$W$1, 0)))</f>
        <v>35.200000000000003</v>
      </c>
      <c r="D11" s="11">
        <f>IF(ISBLANK(VLOOKUP(A11, Dataset!A:W, MATCH("rv3", Dataset!$1:$1, 0), FALSE)), VLOOKUP(A11, Dataset!A:W, MATCH("rv3", Dataset!$1:$1, 0), FALSE), INDEX(Dataset!$A$2:$W$50, MATCH(A11, Dataset!$A$2:$A$50, 0), MATCH("rv3", Dataset!$A$1:$W$1, 0)))</f>
        <v>21.3</v>
      </c>
      <c r="E11" s="11">
        <f>IF(ISBLANK(VLOOKUP(A11, Dataset!A:W, MATCH("truck2", Dataset!$1:$1, 0), FALSE)), VLOOKUP(A11, Dataset!A:W, MATCH("truck2", Dataset!$1:$1, 0), FALSE), INDEX(Dataset!$A$2:$W$50, MATCH(A11, Dataset!$A$2:$A$50, 0), MATCH("truck2", Dataset!$A$1:$W$1, 0)))</f>
        <v>43</v>
      </c>
      <c r="F11" s="11">
        <f>IF(ISBLANK(VLOOKUP(A11, Dataset!A:W, MATCH("taxi2", Dataset!$1:$1, 0), FALSE)), VLOOKUP(A11, Dataset!A:W, MATCH("taxi2", Dataset!$1:$1, 0), FALSE), INDEX(Dataset!$A$2:$W$50, MATCH(A11, Dataset!$A$2:$A$50, 0), MATCH("taxi2", Dataset!$A$1:$W$1, 0)))</f>
        <v>21.3</v>
      </c>
    </row>
    <row r="12" spans="1:7" ht="14.4" x14ac:dyDescent="0.3">
      <c r="A12" s="7" t="s">
        <v>14</v>
      </c>
      <c r="B12" s="11">
        <f>IF(ISBLANK(VLOOKUP(A12, Dataset!A:W, MATCH("car1", Dataset!$1:$1, 0), FALSE)), VLOOKUP(A12, Dataset!A:W, MATCH("car1", Dataset!$1:$1, 0), FALSE), INDEX(Dataset!$A$2:$W$50, MATCH(A12, Dataset!$A$2:$A$50, 0), MATCH("car1", Dataset!$A$1:$W$1, 0)))</f>
        <v>18.399999999999999</v>
      </c>
      <c r="C12" s="11">
        <f>IF(ISBLANK(VLOOKUP(A12, Dataset!A:W, MATCH("bus2", Dataset!$1:$1, 0), FALSE)), VLOOKUP(A12, Dataset!A:W, MATCH("bus2", Dataset!$1:$1, 0), FALSE), INDEX(Dataset!$A$2:$W$50, MATCH(A12, Dataset!$A$2:$A$50, 0), MATCH("bus2", Dataset!$A$1:$W$1, 0)))</f>
        <v>55.6</v>
      </c>
      <c r="D12" s="11">
        <f>IF(ISBLANK(VLOOKUP(A12, Dataset!A:W, MATCH("rv3", Dataset!$1:$1, 0), FALSE)), VLOOKUP(A12, Dataset!A:W, MATCH("rv3", Dataset!$1:$1, 0), FALSE), INDEX(Dataset!$A$2:$W$50, MATCH(A12, Dataset!$A$2:$A$50, 0), MATCH("rv3", Dataset!$A$1:$W$1, 0)))</f>
        <v>33.799999999999997</v>
      </c>
      <c r="E12" s="11">
        <f>IF(ISBLANK(VLOOKUP(A12, Dataset!A:W, MATCH("truck2", Dataset!$1:$1, 0), FALSE)), VLOOKUP(A12, Dataset!A:W, MATCH("truck2", Dataset!$1:$1, 0), FALSE), INDEX(Dataset!$A$2:$W$50, MATCH(A12, Dataset!$A$2:$A$50, 0), MATCH("truck2", Dataset!$A$1:$W$1, 0)))</f>
        <v>67.900000000000006</v>
      </c>
      <c r="F12" s="11">
        <f>IF(ISBLANK(VLOOKUP(A12, Dataset!A:W, MATCH("taxi2", Dataset!$1:$1, 0), FALSE)), VLOOKUP(A12, Dataset!A:W, MATCH("taxi2", Dataset!$1:$1, 0), FALSE), INDEX(Dataset!$A$2:$W$50, MATCH(A12, Dataset!$A$2:$A$50, 0), MATCH("taxi2", Dataset!$A$1:$W$1, 0)))</f>
        <v>33.799999999999997</v>
      </c>
    </row>
    <row r="13" spans="1:7" ht="14.4" x14ac:dyDescent="0.3">
      <c r="A13" s="7" t="s">
        <v>15</v>
      </c>
      <c r="B13" s="11">
        <f>IF(ISBLANK(VLOOKUP(A13, Dataset!A:W, MATCH("car1", Dataset!$1:$1, 0), FALSE)), VLOOKUP(A13, Dataset!A:W, MATCH("car1", Dataset!$1:$1, 0), FALSE), INDEX(Dataset!$A$2:$W$50, MATCH(A13, Dataset!$A$2:$A$50, 0), MATCH("car1", Dataset!$A$1:$W$1, 0)))</f>
        <v>0</v>
      </c>
      <c r="C13" s="11">
        <f>IF(ISBLANK(VLOOKUP(A13, Dataset!A:W, MATCH("bus2", Dataset!$1:$1, 0), FALSE)), VLOOKUP(A13, Dataset!A:W, MATCH("bus2", Dataset!$1:$1, 0), FALSE), INDEX(Dataset!$A$2:$W$50, MATCH(A13, Dataset!$A$2:$A$50, 0), MATCH("bus2", Dataset!$A$1:$W$1, 0)))</f>
        <v>0</v>
      </c>
      <c r="D13" s="11">
        <f>IF(ISBLANK(VLOOKUP(A13, Dataset!A:W, MATCH("rv3", Dataset!$1:$1, 0), FALSE)), VLOOKUP(A13, Dataset!A:W, MATCH("rv3", Dataset!$1:$1, 0), FALSE), INDEX(Dataset!$A$2:$W$50, MATCH(A13, Dataset!$A$2:$A$50, 0), MATCH("rv3", Dataset!$A$1:$W$1, 0)))</f>
        <v>0</v>
      </c>
      <c r="E13" s="11">
        <f>IF(ISBLANK(VLOOKUP(A13, Dataset!A:W, MATCH("truck2", Dataset!$1:$1, 0), FALSE)), VLOOKUP(A13, Dataset!A:W, MATCH("truck2", Dataset!$1:$1, 0), FALSE), INDEX(Dataset!$A$2:$W$50, MATCH(A13, Dataset!$A$2:$A$50, 0), MATCH("truck2", Dataset!$A$1:$W$1, 0)))</f>
        <v>0</v>
      </c>
      <c r="F13" s="11">
        <f>IF(ISBLANK(VLOOKUP(A13, Dataset!A:W, MATCH("taxi2", Dataset!$1:$1, 0), FALSE)), VLOOKUP(A13, Dataset!A:W, MATCH("taxi2", Dataset!$1:$1, 0), FALSE), INDEX(Dataset!$A$2:$W$50, MATCH(A13, Dataset!$A$2:$A$50, 0), MATCH("taxi2", Dataset!$A$1:$W$1, 0)))</f>
        <v>0</v>
      </c>
    </row>
    <row r="14" spans="1:7" ht="14.4" x14ac:dyDescent="0.3">
      <c r="A14" s="7" t="s">
        <v>16</v>
      </c>
      <c r="B14" s="11">
        <f>IF(ISBLANK(VLOOKUP(A14, Dataset!A:W, MATCH("car1", Dataset!$1:$1, 0), FALSE)), VLOOKUP(A14, Dataset!A:W, MATCH("car1", Dataset!$1:$1, 0), FALSE), INDEX(Dataset!$A$2:$W$50, MATCH(A14, Dataset!$A$2:$A$50, 0), MATCH("car1", Dataset!$A$1:$W$1, 0)))</f>
        <v>21.9</v>
      </c>
      <c r="C14" s="11">
        <f>IF(ISBLANK(VLOOKUP(A14, Dataset!A:W, MATCH("bus2", Dataset!$1:$1, 0), FALSE)), VLOOKUP(A14, Dataset!A:W, MATCH("bus2", Dataset!$1:$1, 0), FALSE), INDEX(Dataset!$A$2:$W$50, MATCH(A14, Dataset!$A$2:$A$50, 0), MATCH("bus2", Dataset!$A$1:$W$1, 0)))</f>
        <v>61.5</v>
      </c>
      <c r="D14" s="11">
        <f>IF(ISBLANK(VLOOKUP(A14, Dataset!A:W, MATCH("rv3", Dataset!$1:$1, 0), FALSE)), VLOOKUP(A14, Dataset!A:W, MATCH("rv3", Dataset!$1:$1, 0), FALSE), INDEX(Dataset!$A$2:$W$50, MATCH(A14, Dataset!$A$2:$A$50, 0), MATCH("rv3", Dataset!$A$1:$W$1, 0)))</f>
        <v>40.1</v>
      </c>
      <c r="E14" s="11">
        <f>IF(ISBLANK(VLOOKUP(A14, Dataset!A:W, MATCH("truck2", Dataset!$1:$1, 0), FALSE)), VLOOKUP(A14, Dataset!A:W, MATCH("truck2", Dataset!$1:$1, 0), FALSE), INDEX(Dataset!$A$2:$W$50, MATCH(A14, Dataset!$A$2:$A$50, 0), MATCH("truck2", Dataset!$A$1:$W$1, 0)))</f>
        <v>76.599999999999994</v>
      </c>
      <c r="F14" s="11">
        <f>IF(ISBLANK(VLOOKUP(A14, Dataset!A:W, MATCH("taxi2", Dataset!$1:$1, 0), FALSE)), VLOOKUP(A14, Dataset!A:W, MATCH("taxi2", Dataset!$1:$1, 0), FALSE), INDEX(Dataset!$A$2:$W$50, MATCH(A14, Dataset!$A$2:$A$50, 0), MATCH("taxi2", Dataset!$A$1:$W$1, 0)))</f>
        <v>40.1</v>
      </c>
    </row>
    <row r="15" spans="1:7" ht="14.4" x14ac:dyDescent="0.3">
      <c r="A15" s="7" t="s">
        <v>18</v>
      </c>
      <c r="B15" s="11">
        <f>IF(ISBLANK(VLOOKUP(A15, Dataset!A:W, MATCH("car1", Dataset!$1:$1, 0), FALSE)), VLOOKUP(A15, Dataset!A:W, MATCH("car1", Dataset!$1:$1, 0), FALSE), INDEX(Dataset!$A$2:$W$50, MATCH(A15, Dataset!$A$2:$A$50, 0), MATCH("car1", Dataset!$A$1:$W$1, 0)))</f>
        <v>26.8</v>
      </c>
      <c r="C15" s="11">
        <f>IF(ISBLANK(VLOOKUP(A15, Dataset!A:W, MATCH("bus2", Dataset!$1:$1, 0), FALSE)), VLOOKUP(A15, Dataset!A:W, MATCH("bus2", Dataset!$1:$1, 0), FALSE), INDEX(Dataset!$A$2:$W$50, MATCH(A15, Dataset!$A$2:$A$50, 0), MATCH("bus2", Dataset!$A$1:$W$1, 0)))</f>
        <v>79.599999999999994</v>
      </c>
      <c r="D15" s="11">
        <f>IF(ISBLANK(VLOOKUP(A15, Dataset!A:W, MATCH("rv3", Dataset!$1:$1, 0), FALSE)), VLOOKUP(A15, Dataset!A:W, MATCH("rv3", Dataset!$1:$1, 0), FALSE), INDEX(Dataset!$A$2:$W$50, MATCH(A15, Dataset!$A$2:$A$50, 0), MATCH("rv3", Dataset!$A$1:$W$1, 0)))</f>
        <v>47.9</v>
      </c>
      <c r="E15" s="11">
        <f>IF(ISBLANK(VLOOKUP(A15, Dataset!A:W, MATCH("truck2", Dataset!$1:$1, 0), FALSE)), VLOOKUP(A15, Dataset!A:W, MATCH("truck2", Dataset!$1:$1, 0), FALSE), INDEX(Dataset!$A$2:$W$50, MATCH(A15, Dataset!$A$2:$A$50, 0), MATCH("truck2", Dataset!$A$1:$W$1, 0)))</f>
        <v>96.8</v>
      </c>
      <c r="F15" s="11">
        <f>IF(ISBLANK(VLOOKUP(A15, Dataset!A:W, MATCH("taxi2", Dataset!$1:$1, 0), FALSE)), VLOOKUP(A15, Dataset!A:W, MATCH("taxi2", Dataset!$1:$1, 0), FALSE), INDEX(Dataset!$A$2:$W$50, MATCH(A15, Dataset!$A$2:$A$50, 0), MATCH("taxi2", Dataset!$A$1:$W$1, 0)))</f>
        <v>47.9</v>
      </c>
    </row>
    <row r="16" spans="1:7" ht="14.4" x14ac:dyDescent="0.3">
      <c r="A16" s="7" t="s">
        <v>20</v>
      </c>
      <c r="B16" s="11">
        <f>IF(ISBLANK(VLOOKUP(A16, Dataset!A:W, MATCH("car1", Dataset!$1:$1, 0), FALSE)), VLOOKUP(A16, Dataset!A:W, MATCH("car1", Dataset!$1:$1, 0), FALSE), INDEX(Dataset!$A$2:$W$50, MATCH(A16, Dataset!$A$2:$A$50, 0), MATCH("car1", Dataset!$A$1:$W$1, 0)))</f>
        <v>28.5</v>
      </c>
      <c r="C16" s="11">
        <f>IF(ISBLANK(VLOOKUP(A16, Dataset!A:W, MATCH("bus2", Dataset!$1:$1, 0), FALSE)), VLOOKUP(A16, Dataset!A:W, MATCH("bus2", Dataset!$1:$1, 0), FALSE), INDEX(Dataset!$A$2:$W$50, MATCH(A16, Dataset!$A$2:$A$50, 0), MATCH("bus2", Dataset!$A$1:$W$1, 0)))</f>
        <v>85.4</v>
      </c>
      <c r="D16" s="11">
        <f>IF(ISBLANK(VLOOKUP(A16, Dataset!A:W, MATCH("rv3", Dataset!$1:$1, 0), FALSE)), VLOOKUP(A16, Dataset!A:W, MATCH("rv3", Dataset!$1:$1, 0), FALSE), INDEX(Dataset!$A$2:$W$50, MATCH(A16, Dataset!$A$2:$A$50, 0), MATCH("rv3", Dataset!$A$1:$W$1, 0)))</f>
        <v>52.3</v>
      </c>
      <c r="E16" s="11">
        <f>IF(ISBLANK(VLOOKUP(A16, Dataset!A:W, MATCH("truck2", Dataset!$1:$1, 0), FALSE)), VLOOKUP(A16, Dataset!A:W, MATCH("truck2", Dataset!$1:$1, 0), FALSE), INDEX(Dataset!$A$2:$W$50, MATCH(A16, Dataset!$A$2:$A$50, 0), MATCH("truck2", Dataset!$A$1:$W$1, 0)))</f>
        <v>106.1</v>
      </c>
      <c r="F16" s="11">
        <f>IF(ISBLANK(VLOOKUP(A16, Dataset!A:W, MATCH("taxi2", Dataset!$1:$1, 0), FALSE)), VLOOKUP(A16, Dataset!A:W, MATCH("taxi2", Dataset!$1:$1, 0), FALSE), INDEX(Dataset!$A$2:$W$50, MATCH(A16, Dataset!$A$2:$A$50, 0), MATCH("taxi2", Dataset!$A$1:$W$1, 0)))</f>
        <v>52.3</v>
      </c>
    </row>
    <row r="17" spans="1:6" ht="14.4" x14ac:dyDescent="0.3">
      <c r="A17" s="7" t="s">
        <v>22</v>
      </c>
      <c r="B17" s="11">
        <f>IF(ISBLANK(VLOOKUP(A17, Dataset!A:W, MATCH("car1", Dataset!$1:$1, 0), FALSE)), VLOOKUP(A17, Dataset!A:W, MATCH("car1", Dataset!$1:$1, 0), FALSE), INDEX(Dataset!$A$2:$W$50, MATCH(A17, Dataset!$A$2:$A$50, 0), MATCH("car1", Dataset!$A$1:$W$1, 0)))</f>
        <v>30.7</v>
      </c>
      <c r="C17" s="11">
        <f>IF(ISBLANK(VLOOKUP(A17, Dataset!A:W, MATCH("bus2", Dataset!$1:$1, 0), FALSE)), VLOOKUP(A17, Dataset!A:W, MATCH("bus2", Dataset!$1:$1, 0), FALSE), INDEX(Dataset!$A$2:$W$50, MATCH(A17, Dataset!$A$2:$A$50, 0), MATCH("bus2", Dataset!$A$1:$W$1, 0)))</f>
        <v>92.1</v>
      </c>
      <c r="D17" s="11">
        <f>IF(ISBLANK(VLOOKUP(A17, Dataset!A:W, MATCH("rv3", Dataset!$1:$1, 0), FALSE)), VLOOKUP(A17, Dataset!A:W, MATCH("rv3", Dataset!$1:$1, 0), FALSE), INDEX(Dataset!$A$2:$W$50, MATCH(A17, Dataset!$A$2:$A$50, 0), MATCH("rv3", Dataset!$A$1:$W$1, 0)))</f>
        <v>57</v>
      </c>
      <c r="E17" s="11">
        <f>IF(ISBLANK(VLOOKUP(A17, Dataset!A:W, MATCH("truck2", Dataset!$1:$1, 0), FALSE)), VLOOKUP(A17, Dataset!A:W, MATCH("truck2", Dataset!$1:$1, 0), FALSE), INDEX(Dataset!$A$2:$W$50, MATCH(A17, Dataset!$A$2:$A$50, 0), MATCH("truck2", Dataset!$A$1:$W$1, 0)))</f>
        <v>115.1</v>
      </c>
      <c r="F17" s="11">
        <f>IF(ISBLANK(VLOOKUP(A17, Dataset!A:W, MATCH("taxi2", Dataset!$1:$1, 0), FALSE)), VLOOKUP(A17, Dataset!A:W, MATCH("taxi2", Dataset!$1:$1, 0), FALSE), INDEX(Dataset!$A$2:$W$50, MATCH(A17, Dataset!$A$2:$A$50, 0), MATCH("taxi2", Dataset!$A$1:$W$1, 0)))</f>
        <v>57</v>
      </c>
    </row>
    <row r="18" spans="1:6" ht="14.4" x14ac:dyDescent="0.3">
      <c r="A18" s="7" t="s">
        <v>23</v>
      </c>
      <c r="B18" s="11">
        <f>IF(ISBLANK(VLOOKUP(A18, Dataset!A:W, MATCH("car1", Dataset!$1:$1, 0), FALSE)), VLOOKUP(A18, Dataset!A:W, MATCH("car1", Dataset!$1:$1, 0), FALSE), INDEX(Dataset!$A$2:$W$50, MATCH(A18, Dataset!$A$2:$A$50, 0), MATCH("car1", Dataset!$A$1:$W$1, 0)))</f>
        <v>33.799999999999997</v>
      </c>
      <c r="C18" s="11">
        <f>IF(ISBLANK(VLOOKUP(A18, Dataset!A:W, MATCH("bus2", Dataset!$1:$1, 0), FALSE)), VLOOKUP(A18, Dataset!A:W, MATCH("bus2", Dataset!$1:$1, 0), FALSE), INDEX(Dataset!$A$2:$W$50, MATCH(A18, Dataset!$A$2:$A$50, 0), MATCH("bus2", Dataset!$A$1:$W$1, 0)))</f>
        <v>101.3</v>
      </c>
      <c r="D18" s="11">
        <f>IF(ISBLANK(VLOOKUP(A18, Dataset!A:W, MATCH("rv3", Dataset!$1:$1, 0), FALSE)), VLOOKUP(A18, Dataset!A:W, MATCH("rv3", Dataset!$1:$1, 0), FALSE), INDEX(Dataset!$A$2:$W$50, MATCH(A18, Dataset!$A$2:$A$50, 0), MATCH("rv3", Dataset!$A$1:$W$1, 0)))</f>
        <v>61.4</v>
      </c>
      <c r="E18" s="11">
        <f>IF(ISBLANK(VLOOKUP(A18, Dataset!A:W, MATCH("truck2", Dataset!$1:$1, 0), FALSE)), VLOOKUP(A18, Dataset!A:W, MATCH("truck2", Dataset!$1:$1, 0), FALSE), INDEX(Dataset!$A$2:$W$50, MATCH(A18, Dataset!$A$2:$A$50, 0), MATCH("truck2", Dataset!$A$1:$W$1, 0)))</f>
        <v>124.4</v>
      </c>
      <c r="F18" s="11">
        <f>IF(ISBLANK(VLOOKUP(A18, Dataset!A:W, MATCH("taxi2", Dataset!$1:$1, 0), FALSE)), VLOOKUP(A18, Dataset!A:W, MATCH("taxi2", Dataset!$1:$1, 0), FALSE), INDEX(Dataset!$A$2:$W$50, MATCH(A18, Dataset!$A$2:$A$50, 0), MATCH("taxi2", Dataset!$A$1:$W$1, 0)))</f>
        <v>61.4</v>
      </c>
    </row>
    <row r="19" spans="1:6" ht="14.4" x14ac:dyDescent="0.3">
      <c r="A19" s="7" t="s">
        <v>24</v>
      </c>
      <c r="B19" s="11">
        <f>IF(ISBLANK(VLOOKUP(A19, Dataset!A:W, MATCH("car1", Dataset!$1:$1, 0), FALSE)), VLOOKUP(A19, Dataset!A:W, MATCH("car1", Dataset!$1:$1, 0), FALSE), INDEX(Dataset!$A$2:$W$50, MATCH(A19, Dataset!$A$2:$A$50, 0), MATCH("car1", Dataset!$A$1:$W$1, 0)))</f>
        <v>34.700000000000003</v>
      </c>
      <c r="C19" s="11">
        <f>IF(ISBLANK(VLOOKUP(A19, Dataset!A:W, MATCH("bus2", Dataset!$1:$1, 0), FALSE)), VLOOKUP(A19, Dataset!A:W, MATCH("bus2", Dataset!$1:$1, 0), FALSE), INDEX(Dataset!$A$2:$W$50, MATCH(A19, Dataset!$A$2:$A$50, 0), MATCH("bus2", Dataset!$A$1:$W$1, 0)))</f>
        <v>106.1</v>
      </c>
      <c r="D19" s="11">
        <f>IF(ISBLANK(VLOOKUP(A19, Dataset!A:W, MATCH("rv3", Dataset!$1:$1, 0), FALSE)), VLOOKUP(A19, Dataset!A:W, MATCH("rv3", Dataset!$1:$1, 0), FALSE), INDEX(Dataset!$A$2:$W$50, MATCH(A19, Dataset!$A$2:$A$50, 0), MATCH("rv3", Dataset!$A$1:$W$1, 0)))</f>
        <v>63.6</v>
      </c>
      <c r="E19" s="11">
        <f>IF(ISBLANK(VLOOKUP(A19, Dataset!A:W, MATCH("truck2", Dataset!$1:$1, 0), FALSE)), VLOOKUP(A19, Dataset!A:W, MATCH("truck2", Dataset!$1:$1, 0), FALSE), INDEX(Dataset!$A$2:$W$50, MATCH(A19, Dataset!$A$2:$A$50, 0), MATCH("truck2", Dataset!$A$1:$W$1, 0)))</f>
        <v>128.6</v>
      </c>
      <c r="F19" s="11">
        <f>IF(ISBLANK(VLOOKUP(A19, Dataset!A:W, MATCH("taxi2", Dataset!$1:$1, 0), FALSE)), VLOOKUP(A19, Dataset!A:W, MATCH("taxi2", Dataset!$1:$1, 0), FALSE), INDEX(Dataset!$A$2:$W$50, MATCH(A19, Dataset!$A$2:$A$50, 0), MATCH("taxi2", Dataset!$A$1:$W$1, 0)))</f>
        <v>63.6</v>
      </c>
    </row>
    <row r="20" spans="1:6" ht="14.4" x14ac:dyDescent="0.3">
      <c r="A20" s="7" t="s">
        <v>28</v>
      </c>
      <c r="B20" s="11">
        <f>IF(ISBLANK(VLOOKUP(A20, Dataset!A:W, MATCH("car1", Dataset!$1:$1, 0), FALSE)), VLOOKUP(A20, Dataset!A:W, MATCH("car1", Dataset!$1:$1, 0), FALSE), INDEX(Dataset!$A$2:$W$50, MATCH(A20, Dataset!$A$2:$A$50, 0), MATCH("car1", Dataset!$A$1:$W$1, 0)))</f>
        <v>0</v>
      </c>
      <c r="C20" s="11">
        <f>IF(ISBLANK(VLOOKUP(A20, Dataset!A:W, MATCH("bus2", Dataset!$1:$1, 0), FALSE)), VLOOKUP(A20, Dataset!A:W, MATCH("bus2", Dataset!$1:$1, 0), FALSE), INDEX(Dataset!$A$2:$W$50, MATCH(A20, Dataset!$A$2:$A$50, 0), MATCH("bus2", Dataset!$A$1:$W$1, 0)))</f>
        <v>0</v>
      </c>
      <c r="D20" s="11">
        <f>IF(ISBLANK(VLOOKUP(A20, Dataset!A:W, MATCH("rv3", Dataset!$1:$1, 0), FALSE)), VLOOKUP(A20, Dataset!A:W, MATCH("rv3", Dataset!$1:$1, 0), FALSE), INDEX(Dataset!$A$2:$W$50, MATCH(A20, Dataset!$A$2:$A$50, 0), MATCH("rv3", Dataset!$A$1:$W$1, 0)))</f>
        <v>0</v>
      </c>
      <c r="E20" s="11">
        <f>IF(ISBLANK(VLOOKUP(A20, Dataset!A:W, MATCH("truck2", Dataset!$1:$1, 0), FALSE)), VLOOKUP(A20, Dataset!A:W, MATCH("truck2", Dataset!$1:$1, 0), FALSE), INDEX(Dataset!$A$2:$W$50, MATCH(A20, Dataset!$A$2:$A$50, 0), MATCH("truck2", Dataset!$A$1:$W$1, 0)))</f>
        <v>0</v>
      </c>
      <c r="F20" s="11">
        <f>IF(ISBLANK(VLOOKUP(A20, Dataset!A:W, MATCH("taxi2", Dataset!$1:$1, 0), FALSE)), VLOOKUP(A20, Dataset!A:W, MATCH("taxi2", Dataset!$1:$1, 0), FALSE), INDEX(Dataset!$A$2:$W$50, MATCH(A20, Dataset!$A$2:$A$50, 0), MATCH("taxi2", Dataset!$A$1:$W$1, 0)))</f>
        <v>0</v>
      </c>
    </row>
    <row r="21" spans="1:6" ht="14.4" x14ac:dyDescent="0.3">
      <c r="A21" s="7" t="s">
        <v>57</v>
      </c>
      <c r="B21" s="11">
        <f>IF(ISBLANK(VLOOKUP(A21, Dataset!A:W, MATCH("car1", Dataset!$1:$1, 0), FALSE)), VLOOKUP(A21, Dataset!A:W, MATCH("car1", Dataset!$1:$1, 0), FALSE), INDEX(Dataset!$A$2:$W$50, MATCH(A21, Dataset!$A$2:$A$50, 0), MATCH("car1", Dataset!$A$1:$W$1, 0)))</f>
        <v>41.3</v>
      </c>
      <c r="C21" s="11">
        <f>IF(ISBLANK(VLOOKUP(A21, Dataset!A:W, MATCH("bus2", Dataset!$1:$1, 0), FALSE)), VLOOKUP(A21, Dataset!A:W, MATCH("bus2", Dataset!$1:$1, 0), FALSE), INDEX(Dataset!$A$2:$W$50, MATCH(A21, Dataset!$A$2:$A$50, 0), MATCH("bus2", Dataset!$A$1:$W$1, 0)))</f>
        <v>124.4</v>
      </c>
      <c r="D21" s="11">
        <f>IF(ISBLANK(VLOOKUP(A21, Dataset!A:W, MATCH("rv3", Dataset!$1:$1, 0), FALSE)), VLOOKUP(A21, Dataset!A:W, MATCH("rv3", Dataset!$1:$1, 0), FALSE), INDEX(Dataset!$A$2:$W$50, MATCH(A21, Dataset!$A$2:$A$50, 0), MATCH("rv3", Dataset!$A$1:$W$1, 0)))</f>
        <v>75</v>
      </c>
      <c r="E21" s="11">
        <f>IF(ISBLANK(VLOOKUP(A21, Dataset!A:W, MATCH("truck2", Dataset!$1:$1, 0), FALSE)), VLOOKUP(A21, Dataset!A:W, MATCH("truck2", Dataset!$1:$1, 0), FALSE), INDEX(Dataset!$A$2:$W$50, MATCH(A21, Dataset!$A$2:$A$50, 0), MATCH("truck2", Dataset!$A$1:$W$1, 0)))</f>
        <v>151.5</v>
      </c>
      <c r="F21" s="11">
        <f>IF(ISBLANK(VLOOKUP(A21, Dataset!A:W, MATCH("taxi2", Dataset!$1:$1, 0), FALSE)), VLOOKUP(A21, Dataset!A:W, MATCH("taxi2", Dataset!$1:$1, 0), FALSE), INDEX(Dataset!$A$2:$W$50, MATCH(A21, Dataset!$A$2:$A$50, 0), MATCH("taxi2", Dataset!$A$1:$W$1, 0)))</f>
        <v>75</v>
      </c>
    </row>
    <row r="22" spans="1:6" ht="14.4" x14ac:dyDescent="0.3">
      <c r="A22" s="7" t="s">
        <v>58</v>
      </c>
      <c r="B22" s="11">
        <f>IF(ISBLANK(VLOOKUP(A22, Dataset!A:W, MATCH("car1", Dataset!$1:$1, 0), FALSE)), VLOOKUP(A22, Dataset!A:W, MATCH("car1", Dataset!$1:$1, 0), FALSE), INDEX(Dataset!$A$2:$W$50, MATCH(A22, Dataset!$A$2:$A$50, 0), MATCH("car1", Dataset!$A$1:$W$1, 0)))</f>
        <v>-1</v>
      </c>
      <c r="C22" s="11">
        <f>IF(ISBLANK(VLOOKUP(A22, Dataset!A:W, MATCH("bus2", Dataset!$1:$1, 0), FALSE)), VLOOKUP(A22, Dataset!A:W, MATCH("bus2", Dataset!$1:$1, 0), FALSE), INDEX(Dataset!$A$2:$W$50, MATCH(A22, Dataset!$A$2:$A$50, 0), MATCH("bus2", Dataset!$A$1:$W$1, 0)))</f>
        <v>-1</v>
      </c>
      <c r="D22" s="11">
        <f>IF(ISBLANK(VLOOKUP(A22, Dataset!A:W, MATCH("rv3", Dataset!$1:$1, 0), FALSE)), VLOOKUP(A22, Dataset!A:W, MATCH("rv3", Dataset!$1:$1, 0), FALSE), INDEX(Dataset!$A$2:$W$50, MATCH(A22, Dataset!$A$2:$A$50, 0), MATCH("rv3", Dataset!$A$1:$W$1, 0)))</f>
        <v>-1</v>
      </c>
      <c r="E22" s="11">
        <f>IF(ISBLANK(VLOOKUP(A22, Dataset!A:W, MATCH("truck2", Dataset!$1:$1, 0), FALSE)), VLOOKUP(A22, Dataset!A:W, MATCH("truck2", Dataset!$1:$1, 0), FALSE), INDEX(Dataset!$A$2:$W$50, MATCH(A22, Dataset!$A$2:$A$50, 0), MATCH("truck2", Dataset!$A$1:$W$1, 0)))</f>
        <v>-1</v>
      </c>
      <c r="F22" s="11">
        <f>IF(ISBLANK(VLOOKUP(A22, Dataset!A:W, MATCH("taxi2", Dataset!$1:$1, 0), FALSE)), VLOOKUP(A22, Dataset!A:W, MATCH("taxi2", Dataset!$1:$1, 0), FALSE), INDEX(Dataset!$A$2:$W$50, MATCH(A22, Dataset!$A$2:$A$50, 0), MATCH("taxi2", Dataset!$A$1:$W$1, 0)))</f>
        <v>-1</v>
      </c>
    </row>
    <row r="23" spans="1:6" ht="14.4" x14ac:dyDescent="0.3">
      <c r="A23" s="7" t="s">
        <v>31</v>
      </c>
      <c r="B23" s="11">
        <f>IF(ISBLANK(VLOOKUP(A23, Dataset!A:W, MATCH("car1", Dataset!$1:$1, 0), FALSE)), VLOOKUP(A23, Dataset!A:W, MATCH("car1", Dataset!$1:$1, 0), FALSE), INDEX(Dataset!$A$2:$W$50, MATCH(A23, Dataset!$A$2:$A$50, 0), MATCH("car1", Dataset!$A$1:$W$1, 0)))</f>
        <v>45</v>
      </c>
      <c r="C23" s="11">
        <f>IF(ISBLANK(VLOOKUP(A23, Dataset!A:W, MATCH("bus2", Dataset!$1:$1, 0), FALSE)), VLOOKUP(A23, Dataset!A:W, MATCH("bus2", Dataset!$1:$1, 0), FALSE), INDEX(Dataset!$A$2:$W$50, MATCH(A23, Dataset!$A$2:$A$50, 0), MATCH("bus2", Dataset!$A$1:$W$1, 0)))</f>
        <v>133.4</v>
      </c>
      <c r="D23" s="11">
        <f>IF(ISBLANK(VLOOKUP(A23, Dataset!A:W, MATCH("rv3", Dataset!$1:$1, 0), FALSE)), VLOOKUP(A23, Dataset!A:W, MATCH("rv3", Dataset!$1:$1, 0), FALSE), INDEX(Dataset!$A$2:$W$50, MATCH(A23, Dataset!$A$2:$A$50, 0), MATCH("rv3", Dataset!$A$1:$W$1, 0)))</f>
        <v>79.400000000000006</v>
      </c>
      <c r="E23" s="11">
        <f>IF(ISBLANK(VLOOKUP(A23, Dataset!A:W, MATCH("truck2", Dataset!$1:$1, 0), FALSE)), VLOOKUP(A23, Dataset!A:W, MATCH("truck2", Dataset!$1:$1, 0), FALSE), INDEX(Dataset!$A$2:$W$50, MATCH(A23, Dataset!$A$2:$A$50, 0), MATCH("truck2", Dataset!$A$1:$W$1, 0)))</f>
        <v>160.9</v>
      </c>
      <c r="F23" s="11">
        <f>IF(ISBLANK(VLOOKUP(A23, Dataset!A:W, MATCH("taxi2", Dataset!$1:$1, 0), FALSE)), VLOOKUP(A23, Dataset!A:W, MATCH("taxi2", Dataset!$1:$1, 0), FALSE), INDEX(Dataset!$A$2:$W$50, MATCH(A23, Dataset!$A$2:$A$50, 0), MATCH("taxi2", Dataset!$A$1:$W$1, 0)))</f>
        <v>79.400000000000006</v>
      </c>
    </row>
    <row r="24" spans="1:6" ht="14.4" x14ac:dyDescent="0.3">
      <c r="A24" s="7" t="s">
        <v>32</v>
      </c>
      <c r="B24" s="11">
        <f>IF(ISBLANK(VLOOKUP(A24, Dataset!A:W, MATCH("car1", Dataset!$1:$1, 0), FALSE)), VLOOKUP(A24, Dataset!A:W, MATCH("car1", Dataset!$1:$1, 0), FALSE), INDEX(Dataset!$A$2:$W$50, MATCH(A24, Dataset!$A$2:$A$50, 0), MATCH("car1", Dataset!$A$1:$W$1, 0)))</f>
        <v>-1</v>
      </c>
      <c r="C24" s="11">
        <f>IF(ISBLANK(VLOOKUP(A24, Dataset!A:W, MATCH("bus2", Dataset!$1:$1, 0), FALSE)), VLOOKUP(A24, Dataset!A:W, MATCH("bus2", Dataset!$1:$1, 0), FALSE), INDEX(Dataset!$A$2:$W$50, MATCH(A24, Dataset!$A$2:$A$50, 0), MATCH("bus2", Dataset!$A$1:$W$1, 0)))</f>
        <v>-1</v>
      </c>
      <c r="D24" s="11">
        <f>IF(ISBLANK(VLOOKUP(A24, Dataset!A:W, MATCH("rv3", Dataset!$1:$1, 0), FALSE)), VLOOKUP(A24, Dataset!A:W, MATCH("rv3", Dataset!$1:$1, 0), FALSE), INDEX(Dataset!$A$2:$W$50, MATCH(A24, Dataset!$A$2:$A$50, 0), MATCH("rv3", Dataset!$A$1:$W$1, 0)))</f>
        <v>-1</v>
      </c>
      <c r="E24" s="11">
        <f>IF(ISBLANK(VLOOKUP(A24, Dataset!A:W, MATCH("truck2", Dataset!$1:$1, 0), FALSE)), VLOOKUP(A24, Dataset!A:W, MATCH("truck2", Dataset!$1:$1, 0), FALSE), INDEX(Dataset!$A$2:$W$50, MATCH(A24, Dataset!$A$2:$A$50, 0), MATCH("truck2", Dataset!$A$1:$W$1, 0)))</f>
        <v>-1</v>
      </c>
      <c r="F24" s="11">
        <f>IF(ISBLANK(VLOOKUP(A24, Dataset!A:W, MATCH("taxi2", Dataset!$1:$1, 0), FALSE)), VLOOKUP(A24, Dataset!A:W, MATCH("taxi2", Dataset!$1:$1, 0), FALSE), INDEX(Dataset!$A$2:$W$50, MATCH(A24, Dataset!$A$2:$A$50, 0), MATCH("taxi2", Dataset!$A$1:$W$1, 0)))</f>
        <v>-1</v>
      </c>
    </row>
    <row r="25" spans="1:6" ht="14.4" x14ac:dyDescent="0.3">
      <c r="A25" s="7" t="s">
        <v>34</v>
      </c>
      <c r="B25" s="11">
        <f>IF(ISBLANK(VLOOKUP(A25, Dataset!A:W, MATCH("car1", Dataset!$1:$1, 0), FALSE)), VLOOKUP(A25, Dataset!A:W, MATCH("car1", Dataset!$1:$1, 0), FALSE), INDEX(Dataset!$A$2:$W$50, MATCH(A25, Dataset!$A$2:$A$50, 0), MATCH("car1", Dataset!$A$1:$W$1, 0)))</f>
        <v>43.3</v>
      </c>
      <c r="C25" s="11">
        <f>IF(ISBLANK(VLOOKUP(A25, Dataset!A:W, MATCH("bus2", Dataset!$1:$1, 0), FALSE)), VLOOKUP(A25, Dataset!A:W, MATCH("bus2", Dataset!$1:$1, 0), FALSE), INDEX(Dataset!$A$2:$W$50, MATCH(A25, Dataset!$A$2:$A$50, 0), MATCH("bus2", Dataset!$A$1:$W$1, 0)))</f>
        <v>128.6</v>
      </c>
      <c r="D25" s="11">
        <f>IF(ISBLANK(VLOOKUP(A25, Dataset!A:W, MATCH("rv3", Dataset!$1:$1, 0), FALSE)), VLOOKUP(A25, Dataset!A:W, MATCH("rv3", Dataset!$1:$1, 0), FALSE), INDEX(Dataset!$A$2:$W$50, MATCH(A25, Dataset!$A$2:$A$50, 0), MATCH("rv3", Dataset!$A$1:$W$1, 0)))</f>
        <v>79.400000000000006</v>
      </c>
      <c r="E25" s="11">
        <f>IF(ISBLANK(VLOOKUP(A25, Dataset!A:W, MATCH("truck2", Dataset!$1:$1, 0), FALSE)), VLOOKUP(A25, Dataset!A:W, MATCH("truck2", Dataset!$1:$1, 0), FALSE), INDEX(Dataset!$A$2:$W$50, MATCH(A25, Dataset!$A$2:$A$50, 0), MATCH("truck2", Dataset!$A$1:$W$1, 0)))</f>
        <v>160.9</v>
      </c>
      <c r="F25" s="11">
        <f>IF(ISBLANK(VLOOKUP(A25, Dataset!A:W, MATCH("taxi2", Dataset!$1:$1, 0), FALSE)), VLOOKUP(A25, Dataset!A:W, MATCH("taxi2", Dataset!$1:$1, 0), FALSE), INDEX(Dataset!$A$2:$W$50, MATCH(A25, Dataset!$A$2:$A$50, 0), MATCH("taxi2", Dataset!$A$1:$W$1, 0)))</f>
        <v>79.400000000000006</v>
      </c>
    </row>
    <row r="26" spans="1:6" ht="14.4" x14ac:dyDescent="0.3">
      <c r="A26" s="7" t="s">
        <v>37</v>
      </c>
      <c r="B26" s="11">
        <f>IF(ISBLANK(VLOOKUP(A26, Dataset!A:W, MATCH("car1", Dataset!$1:$1, 0), FALSE)), VLOOKUP(A26, Dataset!A:W, MATCH("car1", Dataset!$1:$1, 0), FALSE), INDEX(Dataset!$A$2:$W$50, MATCH(A26, Dataset!$A$2:$A$50, 0), MATCH("car1", Dataset!$A$1:$W$1, 0)))</f>
        <v>49.1</v>
      </c>
      <c r="C26" s="11">
        <f>IF(ISBLANK(VLOOKUP(A26, Dataset!A:W, MATCH("bus2", Dataset!$1:$1, 0), FALSE)), VLOOKUP(A26, Dataset!A:W, MATCH("bus2", Dataset!$1:$1, 0), FALSE), INDEX(Dataset!$A$2:$W$50, MATCH(A26, Dataset!$A$2:$A$50, 0), MATCH("bus2", Dataset!$A$1:$W$1, 0)))</f>
        <v>146.80000000000001</v>
      </c>
      <c r="D26" s="11">
        <f>IF(ISBLANK(VLOOKUP(A26, Dataset!A:W, MATCH("rv3", Dataset!$1:$1, 0), FALSE)), VLOOKUP(A26, Dataset!A:W, MATCH("rv3", Dataset!$1:$1, 0), FALSE), INDEX(Dataset!$A$2:$W$50, MATCH(A26, Dataset!$A$2:$A$50, 0), MATCH("rv3", Dataset!$A$1:$W$1, 0)))</f>
        <v>90.9</v>
      </c>
      <c r="E26" s="11">
        <f>IF(ISBLANK(VLOOKUP(A26, Dataset!A:W, MATCH("truck2", Dataset!$1:$1, 0), FALSE)), VLOOKUP(A26, Dataset!A:W, MATCH("truck2", Dataset!$1:$1, 0), FALSE), INDEX(Dataset!$A$2:$W$50, MATCH(A26, Dataset!$A$2:$A$50, 0), MATCH("truck2", Dataset!$A$1:$W$1, 0)))</f>
        <v>183.5</v>
      </c>
      <c r="F26" s="11">
        <f>IF(ISBLANK(VLOOKUP(A26, Dataset!A:W, MATCH("taxi2", Dataset!$1:$1, 0), FALSE)), VLOOKUP(A26, Dataset!A:W, MATCH("taxi2", Dataset!$1:$1, 0), FALSE), INDEX(Dataset!$A$2:$W$50, MATCH(A26, Dataset!$A$2:$A$50, 0), MATCH("taxi2", Dataset!$A$1:$W$1, 0)))</f>
        <v>90.9</v>
      </c>
    </row>
    <row r="27" spans="1:6" ht="14.4" x14ac:dyDescent="0.3">
      <c r="A27" s="7" t="s">
        <v>39</v>
      </c>
      <c r="B27" s="11">
        <f>IF(ISBLANK(VLOOKUP(A27, Dataset!A:W, MATCH("car1", Dataset!$1:$1, 0), FALSE)), VLOOKUP(A27, Dataset!A:W, MATCH("car1", Dataset!$1:$1, 0), FALSE), INDEX(Dataset!$A$2:$W$50, MATCH(A27, Dataset!$A$2:$A$50, 0), MATCH("car1", Dataset!$A$1:$W$1, 0)))</f>
        <v>51.8</v>
      </c>
      <c r="C27" s="11">
        <f>IF(ISBLANK(VLOOKUP(A27, Dataset!A:W, MATCH("bus2", Dataset!$1:$1, 0), FALSE)), VLOOKUP(A27, Dataset!A:W, MATCH("bus2", Dataset!$1:$1, 0), FALSE), INDEX(Dataset!$A$2:$W$50, MATCH(A27, Dataset!$A$2:$A$50, 0), MATCH("bus2", Dataset!$A$1:$W$1, 0)))</f>
        <v>156.4</v>
      </c>
      <c r="D27" s="11">
        <f>IF(ISBLANK(VLOOKUP(A27, Dataset!A:W, MATCH("rv3", Dataset!$1:$1, 0), FALSE)), VLOOKUP(A27, Dataset!A:W, MATCH("rv3", Dataset!$1:$1, 0), FALSE), INDEX(Dataset!$A$2:$W$50, MATCH(A27, Dataset!$A$2:$A$50, 0), MATCH("rv3", Dataset!$A$1:$W$1, 0)))</f>
        <v>93.1</v>
      </c>
      <c r="E27" s="11">
        <f>IF(ISBLANK(VLOOKUP(A27, Dataset!A:W, MATCH("truck2", Dataset!$1:$1, 0), FALSE)), VLOOKUP(A27, Dataset!A:W, MATCH("truck2", Dataset!$1:$1, 0), FALSE), INDEX(Dataset!$A$2:$W$50, MATCH(A27, Dataset!$A$2:$A$50, 0), MATCH("truck2", Dataset!$A$1:$W$1, 0)))</f>
        <v>188.1</v>
      </c>
      <c r="F27" s="11">
        <f>IF(ISBLANK(VLOOKUP(A27, Dataset!A:W, MATCH("taxi2", Dataset!$1:$1, 0), FALSE)), VLOOKUP(A27, Dataset!A:W, MATCH("taxi2", Dataset!$1:$1, 0), FALSE), INDEX(Dataset!$A$2:$W$50, MATCH(A27, Dataset!$A$2:$A$50, 0), MATCH("taxi2", Dataset!$A$1:$W$1, 0)))</f>
        <v>93.1</v>
      </c>
    </row>
    <row r="28" spans="1:6" ht="14.4" x14ac:dyDescent="0.3">
      <c r="A28" s="18" t="s">
        <v>81</v>
      </c>
      <c r="B28" s="31">
        <f>MIN(B2:B27)</f>
        <v>-1</v>
      </c>
      <c r="C28" s="31">
        <f t="shared" ref="C28:F28" si="0">MIN(C2:C27)</f>
        <v>-1</v>
      </c>
      <c r="D28" s="31">
        <f t="shared" si="0"/>
        <v>-1</v>
      </c>
      <c r="E28" s="31">
        <f t="shared" si="0"/>
        <v>-1</v>
      </c>
      <c r="F28" s="31">
        <f t="shared" si="0"/>
        <v>-1</v>
      </c>
    </row>
    <row r="29" spans="1:6" ht="14.4" x14ac:dyDescent="0.3">
      <c r="A29" s="18" t="s">
        <v>82</v>
      </c>
      <c r="B29" s="31">
        <f>MAX(B2:B27)</f>
        <v>51.8</v>
      </c>
      <c r="C29" s="31">
        <f t="shared" ref="C29:F29" si="1">MAX(C2:C27)</f>
        <v>156.4</v>
      </c>
      <c r="D29" s="31">
        <f t="shared" si="1"/>
        <v>93.1</v>
      </c>
      <c r="E29" s="31">
        <f t="shared" si="1"/>
        <v>188.1</v>
      </c>
      <c r="F29" s="31">
        <f t="shared" si="1"/>
        <v>93.1</v>
      </c>
    </row>
    <row r="30" spans="1:6" ht="14.4" x14ac:dyDescent="0.3">
      <c r="A30" s="18" t="s">
        <v>83</v>
      </c>
      <c r="B30" s="31">
        <f>AVERAGE(B2:B27)</f>
        <v>20.827272727272728</v>
      </c>
      <c r="C30" s="31">
        <f t="shared" ref="C30:F30" si="2">AVERAGE(C2:C27)</f>
        <v>62.377272727272725</v>
      </c>
      <c r="D30" s="31">
        <f t="shared" si="2"/>
        <v>37.800000000000004</v>
      </c>
      <c r="E30" s="31">
        <f t="shared" si="2"/>
        <v>76.418181818181822</v>
      </c>
      <c r="F30" s="31">
        <f t="shared" si="2"/>
        <v>37.800000000000004</v>
      </c>
    </row>
  </sheetData>
  <conditionalFormatting sqref="A5:F30">
    <cfRule type="duplicateValues" dxfId="0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5"/>
  <sheetViews>
    <sheetView topLeftCell="A31" zoomScaleNormal="100" workbookViewId="0">
      <selection activeCell="O7" sqref="O7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1" customFormat="1" ht="21" x14ac:dyDescent="0.4">
      <c r="A1" s="42" t="s">
        <v>56</v>
      </c>
      <c r="B1" s="41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3" t="s">
        <v>53</v>
      </c>
      <c r="B5" s="40"/>
    </row>
    <row r="6" spans="1:10" ht="18" x14ac:dyDescent="0.35">
      <c r="A6" s="43" t="s">
        <v>153</v>
      </c>
      <c r="B6" s="40"/>
    </row>
    <row r="7" spans="1:10" ht="18" x14ac:dyDescent="0.35">
      <c r="A7" s="43"/>
      <c r="B7" s="40"/>
    </row>
    <row r="9" spans="1:10" ht="23.4" x14ac:dyDescent="0.45">
      <c r="A9" s="17" t="s">
        <v>165</v>
      </c>
      <c r="I9" s="2"/>
      <c r="J9" s="2"/>
    </row>
    <row r="10" spans="1:10" x14ac:dyDescent="0.3">
      <c r="A10" s="33" t="s">
        <v>101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">
      <c r="A11" s="8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4" x14ac:dyDescent="0.45">
      <c r="A14" s="17" t="s">
        <v>162</v>
      </c>
    </row>
    <row r="15" spans="1:10" x14ac:dyDescent="0.3">
      <c r="A15" s="13" t="s">
        <v>102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3">
      <c r="A16" s="7" t="s">
        <v>121</v>
      </c>
      <c r="B16" s="11"/>
      <c r="D16" s="11"/>
      <c r="F16" s="11"/>
    </row>
    <row r="17" spans="1:6" x14ac:dyDescent="0.3">
      <c r="A17" s="7" t="s">
        <v>122</v>
      </c>
      <c r="B17" s="11" cm="1">
        <f t="array" ref="B17:F17">TRANSPOSE(_xlfn.FILTERXML("&lt;t&gt;&lt;s&gt;" &amp; SUBSTITUTE(SUBSTITUTE(A17, "-", "&lt;/s&gt;&lt;s&gt;"), " ", "&lt;/s&gt;&lt;s&gt;") &amp; "&lt;/s&gt;&lt;/t&gt;", "//s"))</f>
        <v>20002</v>
      </c>
      <c r="C17" s="1" t="str">
        <v>Monday</v>
      </c>
      <c r="D17" s="11">
        <v>0</v>
      </c>
      <c r="E17" s="1" t="str">
        <v>Sunday</v>
      </c>
      <c r="F17" s="11">
        <v>24</v>
      </c>
    </row>
    <row r="18" spans="1:6" x14ac:dyDescent="0.3">
      <c r="A18" s="7" t="s">
        <v>123</v>
      </c>
      <c r="B18" s="11" cm="1">
        <f t="array" ref="B18:F18">TRANSPOSE(_xlfn.FILTERXML("&lt;t&gt;&lt;s&gt;" &amp; SUBSTITUTE(SUBSTITUTE(A18, "-", "&lt;/s&gt;&lt;s&gt;"), " ", "&lt;/s&gt;&lt;s&gt;") &amp; "&lt;/s&gt;&lt;/t&gt;", "//s"))</f>
        <v>20004</v>
      </c>
      <c r="C18" s="1" t="str">
        <v>Monday</v>
      </c>
      <c r="D18" s="11">
        <v>0</v>
      </c>
      <c r="E18" s="1" t="str">
        <v>Sunday</v>
      </c>
      <c r="F18" s="11">
        <v>24</v>
      </c>
    </row>
    <row r="19" spans="1:6" x14ac:dyDescent="0.3">
      <c r="A19" s="7" t="s">
        <v>124</v>
      </c>
      <c r="B19" s="11" cm="1">
        <f t="array" ref="B19:F19">TRANSPOSE(_xlfn.FILTERXML("&lt;t&gt;&lt;s&gt;" &amp; SUBSTITUTE(SUBSTITUTE(A19, "-", "&lt;/s&gt;&lt;s&gt;"), " ", "&lt;/s&gt;&lt;s&gt;") &amp; "&lt;/s&gt;&lt;/t&gt;", "//s"))</f>
        <v>20006</v>
      </c>
      <c r="C19" s="1" t="str">
        <v>Monday</v>
      </c>
      <c r="D19" s="11">
        <v>0</v>
      </c>
      <c r="E19" s="1" t="str">
        <v>Sunday</v>
      </c>
      <c r="F19" s="11">
        <v>24</v>
      </c>
    </row>
    <row r="20" spans="1:6" x14ac:dyDescent="0.3">
      <c r="A20" s="7" t="s">
        <v>125</v>
      </c>
      <c r="B20" s="11" cm="1">
        <f t="array" ref="B20:F20">TRANSPOSE(_xlfn.FILTERXML("&lt;t&gt;&lt;s&gt;" &amp; SUBSTITUTE(SUBSTITUTE(A20, "-", "&lt;/s&gt;&lt;s&gt;"), " ", "&lt;/s&gt;&lt;s&gt;") &amp; "&lt;/s&gt;&lt;/t&gt;", "//s"))</f>
        <v>20008</v>
      </c>
      <c r="C20" s="1" t="str">
        <v>Monday</v>
      </c>
      <c r="D20" s="11">
        <v>0</v>
      </c>
      <c r="E20" s="1" t="str">
        <v>Sunday</v>
      </c>
      <c r="F20" s="11">
        <v>24</v>
      </c>
    </row>
    <row r="21" spans="1:6" x14ac:dyDescent="0.3">
      <c r="A21" s="7" t="s">
        <v>126</v>
      </c>
      <c r="B21" s="11" cm="1">
        <f t="array" ref="B21:F21">TRANSPOSE(_xlfn.FILTERXML("&lt;t&gt;&lt;s&gt;" &amp; SUBSTITUTE(SUBSTITUTE(A21, "-", "&lt;/s&gt;&lt;s&gt;"), " ", "&lt;/s&gt;&lt;s&gt;") &amp; "&lt;/s&gt;&lt;/t&gt;", "//s"))</f>
        <v>20010</v>
      </c>
      <c r="C21" s="1" t="str">
        <v>Monday</v>
      </c>
      <c r="D21" s="11">
        <v>0</v>
      </c>
      <c r="E21" s="1" t="str">
        <v>Sunday</v>
      </c>
      <c r="F21" s="11">
        <v>24</v>
      </c>
    </row>
    <row r="22" spans="1:6" x14ac:dyDescent="0.3">
      <c r="A22" s="7" t="s">
        <v>127</v>
      </c>
      <c r="B22" s="11" cm="1">
        <f t="array" ref="B22:F22">TRANSPOSE(_xlfn.FILTERXML("&lt;t&gt;&lt;s&gt;" &amp; SUBSTITUTE(SUBSTITUTE(A22, "-", "&lt;/s&gt;&lt;s&gt;"), " ", "&lt;/s&gt;&lt;s&gt;") &amp; "&lt;/s&gt;&lt;/t&gt;", "//s"))</f>
        <v>20012</v>
      </c>
      <c r="C22" s="1" t="str">
        <v>Monday</v>
      </c>
      <c r="D22" s="11">
        <v>0</v>
      </c>
      <c r="E22" s="1" t="str">
        <v>Sunday</v>
      </c>
      <c r="F22" s="11">
        <v>24</v>
      </c>
    </row>
    <row r="23" spans="1:6" x14ac:dyDescent="0.3">
      <c r="A23" s="7" t="s">
        <v>128</v>
      </c>
      <c r="B23" s="11" cm="1">
        <f t="array" ref="B23:F23">TRANSPOSE(_xlfn.FILTERXML("&lt;t&gt;&lt;s&gt;" &amp; SUBSTITUTE(SUBSTITUTE(A23, "-", "&lt;/s&gt;&lt;s&gt;"), " ", "&lt;/s&gt;&lt;s&gt;") &amp; "&lt;/s&gt;&lt;/t&gt;", "//s"))</f>
        <v>20014</v>
      </c>
      <c r="C23" s="1" t="str">
        <v>Monday</v>
      </c>
      <c r="D23" s="11">
        <v>0</v>
      </c>
      <c r="E23" s="1" t="str">
        <v>Sunday</v>
      </c>
      <c r="F23" s="11">
        <v>24</v>
      </c>
    </row>
    <row r="24" spans="1:6" x14ac:dyDescent="0.3">
      <c r="A24" s="7" t="s">
        <v>129</v>
      </c>
      <c r="B24" s="11" cm="1">
        <f t="array" ref="B24:F24">TRANSPOSE(_xlfn.FILTERXML("&lt;t&gt;&lt;s&gt;" &amp; SUBSTITUTE(SUBSTITUTE(A24, "-", "&lt;/s&gt;&lt;s&gt;"), " ", "&lt;/s&gt;&lt;s&gt;") &amp; "&lt;/s&gt;&lt;/t&gt;", "//s"))</f>
        <v>20016</v>
      </c>
      <c r="C24" s="1" t="str">
        <v>Monday</v>
      </c>
      <c r="D24" s="11">
        <v>0</v>
      </c>
      <c r="E24" s="1" t="str">
        <v>Sunday</v>
      </c>
      <c r="F24" s="11">
        <v>24</v>
      </c>
    </row>
    <row r="25" spans="1:6" x14ac:dyDescent="0.3">
      <c r="A25" s="7" t="s">
        <v>130</v>
      </c>
      <c r="B25" s="11" cm="1">
        <f t="array" ref="B25:F25">TRANSPOSE(_xlfn.FILTERXML("&lt;t&gt;&lt;s&gt;" &amp; SUBSTITUTE(SUBSTITUTE(A25, "-", "&lt;/s&gt;&lt;s&gt;"), " ", "&lt;/s&gt;&lt;s&gt;") &amp; "&lt;/s&gt;&lt;/t&gt;", "//s"))</f>
        <v>20018</v>
      </c>
      <c r="C25" s="1" t="str">
        <v>Monday</v>
      </c>
      <c r="D25" s="11">
        <v>0</v>
      </c>
      <c r="E25" s="1" t="str">
        <v>Sunday</v>
      </c>
      <c r="F25" s="11">
        <v>24</v>
      </c>
    </row>
    <row r="26" spans="1:6" x14ac:dyDescent="0.3">
      <c r="A26" s="7" t="s">
        <v>131</v>
      </c>
      <c r="B26" s="11" cm="1">
        <f t="array" ref="B26:F26">TRANSPOSE(_xlfn.FILTERXML("&lt;t&gt;&lt;s&gt;" &amp; SUBSTITUTE(SUBSTITUTE(A26, "-", "&lt;/s&gt;&lt;s&gt;"), " ", "&lt;/s&gt;&lt;s&gt;") &amp; "&lt;/s&gt;&lt;/t&gt;", "//s"))</f>
        <v>20020</v>
      </c>
      <c r="C26" s="1" t="str">
        <v>Monday</v>
      </c>
      <c r="D26" s="11">
        <v>0</v>
      </c>
      <c r="E26" s="1" t="str">
        <v>Sunday</v>
      </c>
      <c r="F26" s="11">
        <v>24</v>
      </c>
    </row>
    <row r="27" spans="1:6" x14ac:dyDescent="0.3">
      <c r="A27" s="7" t="s">
        <v>132</v>
      </c>
      <c r="B27" s="11" cm="1">
        <f t="array" ref="B27:F27">TRANSPOSE(_xlfn.FILTERXML("&lt;t&gt;&lt;s&gt;" &amp; SUBSTITUTE(SUBSTITUTE(A27, "-", "&lt;/s&gt;&lt;s&gt;"), " ", "&lt;/s&gt;&lt;s&gt;") &amp; "&lt;/s&gt;&lt;/t&gt;", "//s"))</f>
        <v>20022</v>
      </c>
      <c r="C27" s="1" t="str">
        <v>Monday</v>
      </c>
      <c r="D27" s="11">
        <v>0</v>
      </c>
      <c r="E27" s="1" t="str">
        <v>Sunday</v>
      </c>
      <c r="F27" s="11">
        <v>24</v>
      </c>
    </row>
    <row r="28" spans="1:6" x14ac:dyDescent="0.3">
      <c r="A28" s="7" t="s">
        <v>133</v>
      </c>
      <c r="B28" s="11" cm="1">
        <f t="array" ref="B28:F28">TRANSPOSE(_xlfn.FILTERXML("&lt;t&gt;&lt;s&gt;" &amp; SUBSTITUTE(SUBSTITUTE(A28, "-", "&lt;/s&gt;&lt;s&gt;"), " ", "&lt;/s&gt;&lt;s&gt;") &amp; "&lt;/s&gt;&lt;/t&gt;", "//s"))</f>
        <v>20024</v>
      </c>
      <c r="C28" s="1" t="str">
        <v>Monday</v>
      </c>
      <c r="D28" s="11">
        <v>0</v>
      </c>
      <c r="E28" s="1" t="str">
        <v>Sunday</v>
      </c>
      <c r="F28" s="11">
        <v>24</v>
      </c>
    </row>
    <row r="29" spans="1:6" x14ac:dyDescent="0.3">
      <c r="A29" s="7" t="s">
        <v>134</v>
      </c>
      <c r="B29" s="11" cm="1">
        <f t="array" ref="B29:F29">TRANSPOSE(_xlfn.FILTERXML("&lt;t&gt;&lt;s&gt;" &amp; SUBSTITUTE(SUBSTITUTE(A29, "-", "&lt;/s&gt;&lt;s&gt;"), " ", "&lt;/s&gt;&lt;s&gt;") &amp; "&lt;/s&gt;&lt;/t&gt;", "//s"))</f>
        <v>20026</v>
      </c>
      <c r="C29" s="1" t="str">
        <v>Monday</v>
      </c>
      <c r="D29" s="11">
        <v>0</v>
      </c>
      <c r="E29" s="1" t="str">
        <v>Sunday</v>
      </c>
      <c r="F29" s="11">
        <v>24</v>
      </c>
    </row>
    <row r="30" spans="1:6" x14ac:dyDescent="0.3">
      <c r="A30" s="7" t="s">
        <v>135</v>
      </c>
      <c r="B30" s="11" cm="1">
        <f t="array" ref="B30:F30">TRANSPOSE(_xlfn.FILTERXML("&lt;t&gt;&lt;s&gt;" &amp; SUBSTITUTE(SUBSTITUTE(A30, "-", "&lt;/s&gt;&lt;s&gt;"), " ", "&lt;/s&gt;&lt;s&gt;") &amp; "&lt;/s&gt;&lt;/t&gt;", "//s"))</f>
        <v>20028</v>
      </c>
      <c r="C30" s="1" t="str">
        <v>Monday</v>
      </c>
      <c r="D30" s="11">
        <v>0</v>
      </c>
      <c r="E30" s="1" t="str">
        <v>Sunday</v>
      </c>
      <c r="F30" s="11">
        <v>24</v>
      </c>
    </row>
    <row r="31" spans="1:6" x14ac:dyDescent="0.3">
      <c r="A31" s="7" t="s">
        <v>136</v>
      </c>
      <c r="B31" s="11" cm="1">
        <f t="array" ref="B31:F31">TRANSPOSE(_xlfn.FILTERXML("&lt;t&gt;&lt;s&gt;" &amp; SUBSTITUTE(SUBSTITUTE(A31, "-", "&lt;/s&gt;&lt;s&gt;"), " ", "&lt;/s&gt;&lt;s&gt;") &amp; "&lt;/s&gt;&lt;/t&gt;", "//s"))</f>
        <v>20030</v>
      </c>
      <c r="C31" s="1" t="str">
        <v>Monday</v>
      </c>
      <c r="D31" s="11">
        <v>0</v>
      </c>
      <c r="E31" s="1" t="str">
        <v>Sunday</v>
      </c>
      <c r="F31" s="11">
        <v>24</v>
      </c>
    </row>
    <row r="32" spans="1:6" x14ac:dyDescent="0.3">
      <c r="A32" s="7" t="s">
        <v>137</v>
      </c>
      <c r="B32" s="11" cm="1">
        <f t="array" ref="B32:F32">TRANSPOSE(_xlfn.FILTERXML("&lt;t&gt;&lt;s&gt;" &amp; SUBSTITUTE(SUBSTITUTE(A32, "-", "&lt;/s&gt;&lt;s&gt;"), " ", "&lt;/s&gt;&lt;s&gt;") &amp; "&lt;/s&gt;&lt;/t&gt;", "//s"))</f>
        <v>20032</v>
      </c>
      <c r="C32" s="1" t="str">
        <v>Monday</v>
      </c>
      <c r="D32" s="11">
        <v>0</v>
      </c>
      <c r="E32" s="1" t="str">
        <v>Sunday</v>
      </c>
      <c r="F32" s="11">
        <v>24</v>
      </c>
    </row>
    <row r="33" spans="1:6" x14ac:dyDescent="0.3">
      <c r="A33" s="7" t="s">
        <v>138</v>
      </c>
      <c r="B33" s="11" cm="1">
        <f t="array" ref="B33:F33">TRANSPOSE(_xlfn.FILTERXML("&lt;t&gt;&lt;s&gt;" &amp; SUBSTITUTE(SUBSTITUTE(A33, "-", "&lt;/s&gt;&lt;s&gt;"), " ", "&lt;/s&gt;&lt;s&gt;") &amp; "&lt;/s&gt;&lt;/t&gt;", "//s"))</f>
        <v>20034</v>
      </c>
      <c r="C33" s="1" t="str">
        <v>Monday</v>
      </c>
      <c r="D33" s="11">
        <v>0</v>
      </c>
      <c r="E33" s="1" t="str">
        <v>Sunday</v>
      </c>
      <c r="F33" s="11">
        <v>24</v>
      </c>
    </row>
    <row r="34" spans="1:6" x14ac:dyDescent="0.3">
      <c r="A34" s="7" t="s">
        <v>139</v>
      </c>
      <c r="B34" s="11" cm="1">
        <f t="array" ref="B34:F34">TRANSPOSE(_xlfn.FILTERXML("&lt;t&gt;&lt;s&gt;" &amp; SUBSTITUTE(SUBSTITUTE(A34, "-", "&lt;/s&gt;&lt;s&gt;"), " ", "&lt;/s&gt;&lt;s&gt;") &amp; "&lt;/s&gt;&lt;/t&gt;", "//s"))</f>
        <v>20036</v>
      </c>
      <c r="C34" s="1" t="str">
        <v>Monday</v>
      </c>
      <c r="D34" s="11">
        <v>0</v>
      </c>
      <c r="E34" s="1" t="str">
        <v>Sunday</v>
      </c>
      <c r="F34" s="11">
        <v>24</v>
      </c>
    </row>
    <row r="35" spans="1:6" x14ac:dyDescent="0.3">
      <c r="A35" s="7" t="s">
        <v>140</v>
      </c>
      <c r="B35" s="11" cm="1">
        <f t="array" ref="B35:F35">TRANSPOSE(_xlfn.FILTERXML("&lt;t&gt;&lt;s&gt;" &amp; SUBSTITUTE(SUBSTITUTE(A35, "-", "&lt;/s&gt;&lt;s&gt;"), " ", "&lt;/s&gt;&lt;s&gt;") &amp; "&lt;/s&gt;&lt;/t&gt;", "//s"))</f>
        <v>20038</v>
      </c>
      <c r="C35" s="1" t="str">
        <v>Monday</v>
      </c>
      <c r="D35" s="11">
        <v>0</v>
      </c>
      <c r="E35" s="1" t="str">
        <v>Sunday</v>
      </c>
      <c r="F35" s="11">
        <v>24</v>
      </c>
    </row>
    <row r="36" spans="1:6" x14ac:dyDescent="0.3">
      <c r="A36" s="7" t="s">
        <v>141</v>
      </c>
      <c r="B36" s="11" cm="1">
        <f t="array" ref="B36:F36">TRANSPOSE(_xlfn.FILTERXML("&lt;t&gt;&lt;s&gt;" &amp; SUBSTITUTE(SUBSTITUTE(A36, "-", "&lt;/s&gt;&lt;s&gt;"), " ", "&lt;/s&gt;&lt;s&gt;") &amp; "&lt;/s&gt;&lt;/t&gt;", "//s"))</f>
        <v>20040</v>
      </c>
      <c r="C36" s="1" t="str">
        <v>Monday</v>
      </c>
      <c r="D36" s="11">
        <v>0</v>
      </c>
      <c r="E36" s="1" t="str">
        <v>Sunday</v>
      </c>
      <c r="F36" s="11">
        <v>24</v>
      </c>
    </row>
    <row r="37" spans="1:6" x14ac:dyDescent="0.3">
      <c r="A37" s="7" t="s">
        <v>142</v>
      </c>
      <c r="B37" s="11" cm="1">
        <f t="array" ref="B37:F37">TRANSPOSE(_xlfn.FILTERXML("&lt;t&gt;&lt;s&gt;" &amp; SUBSTITUTE(SUBSTITUTE(A37, "-", "&lt;/s&gt;&lt;s&gt;"), " ", "&lt;/s&gt;&lt;s&gt;") &amp; "&lt;/s&gt;&lt;/t&gt;", "//s"))</f>
        <v>20042</v>
      </c>
      <c r="C37" s="1" t="str">
        <v>Monday</v>
      </c>
      <c r="D37" s="11">
        <v>0</v>
      </c>
      <c r="E37" s="1" t="str">
        <v>Sunday</v>
      </c>
      <c r="F37" s="11">
        <v>24</v>
      </c>
    </row>
    <row r="38" spans="1:6" x14ac:dyDescent="0.3">
      <c r="A38" s="7" t="s">
        <v>143</v>
      </c>
      <c r="B38" s="11" cm="1">
        <f t="array" ref="B38:F38">TRANSPOSE(_xlfn.FILTERXML("&lt;t&gt;&lt;s&gt;" &amp; SUBSTITUTE(SUBSTITUTE(A38, "-", "&lt;/s&gt;&lt;s&gt;"), " ", "&lt;/s&gt;&lt;s&gt;") &amp; "&lt;/s&gt;&lt;/t&gt;", "//s"))</f>
        <v>20044</v>
      </c>
      <c r="C38" s="1" t="str">
        <v>Monday</v>
      </c>
      <c r="D38" s="11">
        <v>0</v>
      </c>
      <c r="E38" s="1" t="str">
        <v>Sunday</v>
      </c>
      <c r="F38" s="11">
        <v>24</v>
      </c>
    </row>
    <row r="39" spans="1:6" x14ac:dyDescent="0.3">
      <c r="A39" s="7" t="s">
        <v>144</v>
      </c>
      <c r="B39" s="11" cm="1">
        <f t="array" ref="B39:F39">TRANSPOSE(_xlfn.FILTERXML("&lt;t&gt;&lt;s&gt;" &amp; SUBSTITUTE(SUBSTITUTE(A39, "-", "&lt;/s&gt;&lt;s&gt;"), " ", "&lt;/s&gt;&lt;s&gt;") &amp; "&lt;/s&gt;&lt;/t&gt;", "//s"))</f>
        <v>20046</v>
      </c>
      <c r="C39" s="1" t="str">
        <v>Monday</v>
      </c>
      <c r="D39" s="11">
        <v>0</v>
      </c>
      <c r="E39" s="1" t="str">
        <v>Sunday</v>
      </c>
      <c r="F39" s="11">
        <v>24</v>
      </c>
    </row>
    <row r="40" spans="1:6" x14ac:dyDescent="0.3">
      <c r="A40" s="7" t="s">
        <v>145</v>
      </c>
      <c r="B40" s="11" cm="1">
        <f t="array" ref="B40:F40">TRANSPOSE(_xlfn.FILTERXML("&lt;t&gt;&lt;s&gt;" &amp; SUBSTITUTE(SUBSTITUTE(A40, "-", "&lt;/s&gt;&lt;s&gt;"), " ", "&lt;/s&gt;&lt;s&gt;") &amp; "&lt;/s&gt;&lt;/t&gt;", "//s"))</f>
        <v>20048</v>
      </c>
      <c r="C40" s="1" t="str">
        <v>Monday</v>
      </c>
      <c r="D40" s="11">
        <v>0</v>
      </c>
      <c r="E40" s="1" t="str">
        <v>Sunday</v>
      </c>
      <c r="F40" s="11">
        <v>24</v>
      </c>
    </row>
    <row r="41" spans="1:6" x14ac:dyDescent="0.3">
      <c r="A41" s="7" t="s">
        <v>146</v>
      </c>
      <c r="B41" s="11" cm="1">
        <f t="array" ref="B41:F41">TRANSPOSE(_xlfn.FILTERXML("&lt;t&gt;&lt;s&gt;" &amp; SUBSTITUTE(SUBSTITUTE(A41, "-", "&lt;/s&gt;&lt;s&gt;"), " ", "&lt;/s&gt;&lt;s&gt;") &amp; "&lt;/s&gt;&lt;/t&gt;", "//s"))</f>
        <v>20050</v>
      </c>
      <c r="C41" s="1" t="str">
        <v>Monday</v>
      </c>
      <c r="D41" s="11">
        <v>0</v>
      </c>
      <c r="E41" s="1" t="str">
        <v>Sunday</v>
      </c>
      <c r="F41" s="11">
        <v>24</v>
      </c>
    </row>
    <row r="42" spans="1:6" x14ac:dyDescent="0.3">
      <c r="A42" s="7" t="s">
        <v>147</v>
      </c>
      <c r="B42" s="11" cm="1">
        <f t="array" ref="B42:F42">TRANSPOSE(_xlfn.FILTERXML("&lt;t&gt;&lt;s&gt;" &amp; SUBSTITUTE(SUBSTITUTE(A42, "-", "&lt;/s&gt;&lt;s&gt;"), " ", "&lt;/s&gt;&lt;s&gt;") &amp; "&lt;/s&gt;&lt;/t&gt;", "//s"))</f>
        <v>20052</v>
      </c>
      <c r="C42" s="1" t="str">
        <v>Monday</v>
      </c>
      <c r="D42" s="11">
        <v>0</v>
      </c>
      <c r="E42" s="1" t="str">
        <v>Sunday</v>
      </c>
      <c r="F42" s="11">
        <v>24</v>
      </c>
    </row>
    <row r="43" spans="1:6" x14ac:dyDescent="0.3">
      <c r="A43" s="7" t="s">
        <v>148</v>
      </c>
      <c r="B43" s="11" cm="1">
        <f t="array" ref="B43:F43">TRANSPOSE(_xlfn.FILTERXML("&lt;t&gt;&lt;s&gt;" &amp; SUBSTITUTE(SUBSTITUTE(A43, "-", "&lt;/s&gt;&lt;s&gt;"), " ", "&lt;/s&gt;&lt;s&gt;") &amp; "&lt;/s&gt;&lt;/t&gt;", "//s"))</f>
        <v>20054</v>
      </c>
      <c r="C43" s="1" t="str">
        <v>Monday</v>
      </c>
      <c r="D43" s="11">
        <v>0</v>
      </c>
      <c r="E43" s="1" t="str">
        <v>Sunday</v>
      </c>
      <c r="F43" s="11">
        <v>24</v>
      </c>
    </row>
    <row r="44" spans="1:6" x14ac:dyDescent="0.3">
      <c r="A44" s="7" t="s">
        <v>149</v>
      </c>
      <c r="B44" s="11" cm="1">
        <f t="array" ref="B44:F44">TRANSPOSE(_xlfn.FILTERXML("&lt;t&gt;&lt;s&gt;" &amp; SUBSTITUTE(SUBSTITUTE(A44, "-", "&lt;/s&gt;&lt;s&gt;"), " ", "&lt;/s&gt;&lt;s&gt;") &amp; "&lt;/s&gt;&lt;/t&gt;", "//s"))</f>
        <v>20058</v>
      </c>
      <c r="C44" s="1" t="str">
        <v>Monday</v>
      </c>
      <c r="D44" s="11">
        <v>0</v>
      </c>
      <c r="E44" s="1" t="str">
        <v>Sunday</v>
      </c>
      <c r="F44" s="11">
        <v>24</v>
      </c>
    </row>
    <row r="45" spans="1:6" x14ac:dyDescent="0.3">
      <c r="A45" s="7" t="s">
        <v>150</v>
      </c>
      <c r="B45" s="11" cm="1">
        <f t="array" ref="B45:F45">TRANSPOSE(_xlfn.FILTERXML("&lt;t&gt;&lt;s&gt;" &amp; SUBSTITUTE(SUBSTITUTE(A45, "-", "&lt;/s&gt;&lt;s&gt;"), " ", "&lt;/s&gt;&lt;s&gt;") &amp; "&lt;/s&gt;&lt;/t&gt;", "//s"))</f>
        <v>20060</v>
      </c>
      <c r="C45" s="1" t="str">
        <v>Monday</v>
      </c>
      <c r="D45" s="11">
        <v>0</v>
      </c>
      <c r="E45" s="1" t="str">
        <v>Sunday</v>
      </c>
      <c r="F45" s="11">
        <v>24</v>
      </c>
    </row>
    <row r="46" spans="1:6" x14ac:dyDescent="0.3">
      <c r="A46" s="7" t="s">
        <v>112</v>
      </c>
      <c r="B46" s="11" cm="1">
        <f t="array" ref="B46:F46">TRANSPOSE(_xlfn.FILTERXML("&lt;t&gt;&lt;s&gt;" &amp; SUBSTITUTE(SUBSTITUTE(A46, "-", "&lt;/s&gt;&lt;s&gt;"), " ", "&lt;/s&gt;&lt;s&gt;") &amp; "&lt;/s&gt;&lt;/t&gt;", "//s"))</f>
        <v>21000</v>
      </c>
      <c r="C46" s="1" t="str">
        <v>Monday</v>
      </c>
      <c r="D46" s="11">
        <v>0</v>
      </c>
      <c r="E46" s="1" t="str">
        <v>Sunday</v>
      </c>
      <c r="F46" s="11">
        <v>24</v>
      </c>
    </row>
    <row r="47" spans="1:6" x14ac:dyDescent="0.3">
      <c r="A47" s="7" t="s">
        <v>113</v>
      </c>
      <c r="B47" s="11" cm="1">
        <f t="array" ref="B47:F47">TRANSPOSE(_xlfn.FILTERXML("&lt;t&gt;&lt;s&gt;" &amp; SUBSTITUTE(SUBSTITUTE(A47, "-", "&lt;/s&gt;&lt;s&gt;"), " ", "&lt;/s&gt;&lt;s&gt;") &amp; "&lt;/s&gt;&lt;/t&gt;", "//s"))</f>
        <v>21002</v>
      </c>
      <c r="C47" s="1" t="str">
        <v>Monday</v>
      </c>
      <c r="D47" s="11">
        <v>0</v>
      </c>
      <c r="E47" s="1" t="str">
        <v>Sunday</v>
      </c>
      <c r="F47" s="11">
        <v>24</v>
      </c>
    </row>
    <row r="48" spans="1:6" x14ac:dyDescent="0.3">
      <c r="A48" s="7" t="s">
        <v>114</v>
      </c>
      <c r="B48" s="11" cm="1">
        <f t="array" ref="B48:F48">TRANSPOSE(_xlfn.FILTERXML("&lt;t&gt;&lt;s&gt;" &amp; SUBSTITUTE(SUBSTITUTE(A48, "-", "&lt;/s&gt;&lt;s&gt;"), " ", "&lt;/s&gt;&lt;s&gt;") &amp; "&lt;/s&gt;&lt;/t&gt;", "//s"))</f>
        <v>21004</v>
      </c>
      <c r="C48" s="1" t="str">
        <v>Monday</v>
      </c>
      <c r="D48" s="11">
        <v>0</v>
      </c>
      <c r="E48" s="1" t="str">
        <v>Sunday</v>
      </c>
      <c r="F48" s="11">
        <v>24</v>
      </c>
    </row>
    <row r="49" spans="1:6" x14ac:dyDescent="0.3">
      <c r="A49" s="7" t="s">
        <v>115</v>
      </c>
      <c r="B49" s="11" cm="1">
        <f t="array" ref="B49:F49">TRANSPOSE(_xlfn.FILTERXML("&lt;t&gt;&lt;s&gt;" &amp; SUBSTITUTE(SUBSTITUTE(A49, "-", "&lt;/s&gt;&lt;s&gt;"), " ", "&lt;/s&gt;&lt;s&gt;") &amp; "&lt;/s&gt;&lt;/t&gt;", "//s"))</f>
        <v>21006</v>
      </c>
      <c r="C49" s="1" t="str">
        <v>Monday</v>
      </c>
      <c r="D49" s="11">
        <v>0</v>
      </c>
      <c r="E49" s="1" t="str">
        <v>Sunday</v>
      </c>
      <c r="F49" s="11">
        <v>24</v>
      </c>
    </row>
    <row r="50" spans="1:6" x14ac:dyDescent="0.3">
      <c r="A50" s="7" t="s">
        <v>116</v>
      </c>
      <c r="B50" s="11" cm="1">
        <f t="array" ref="B50:F50">TRANSPOSE(_xlfn.FILTERXML("&lt;t&gt;&lt;s&gt;" &amp; SUBSTITUTE(SUBSTITUTE(A50, "-", "&lt;/s&gt;&lt;s&gt;"), " ", "&lt;/s&gt;&lt;s&gt;") &amp; "&lt;/s&gt;&lt;/t&gt;", "//s"))</f>
        <v>21008</v>
      </c>
      <c r="C50" s="1" t="str">
        <v>Monday</v>
      </c>
      <c r="D50" s="11">
        <v>0</v>
      </c>
      <c r="E50" s="1" t="str">
        <v>Sunday</v>
      </c>
      <c r="F50" s="11">
        <v>24</v>
      </c>
    </row>
    <row r="51" spans="1:6" x14ac:dyDescent="0.3">
      <c r="A51" s="7" t="s">
        <v>117</v>
      </c>
      <c r="B51" s="11" cm="1">
        <f t="array" ref="B51:F51">TRANSPOSE(_xlfn.FILTERXML("&lt;t&gt;&lt;s&gt;" &amp; SUBSTITUTE(SUBSTITUTE(A51, "-", "&lt;/s&gt;&lt;s&gt;"), " ", "&lt;/s&gt;&lt;s&gt;") &amp; "&lt;/s&gt;&lt;/t&gt;", "//s"))</f>
        <v>21010</v>
      </c>
      <c r="C51" s="1" t="str">
        <v>Monday</v>
      </c>
      <c r="D51" s="11">
        <v>0</v>
      </c>
      <c r="E51" s="1" t="str">
        <v>Sunday</v>
      </c>
      <c r="F51" s="11">
        <v>24</v>
      </c>
    </row>
    <row r="52" spans="1:6" x14ac:dyDescent="0.3">
      <c r="A52" s="7" t="s">
        <v>118</v>
      </c>
      <c r="B52" s="11" cm="1">
        <f t="array" ref="B52:F52">TRANSPOSE(_xlfn.FILTERXML("&lt;t&gt;&lt;s&gt;" &amp; SUBSTITUTE(SUBSTITUTE(A52, "-", "&lt;/s&gt;&lt;s&gt;"), " ", "&lt;/s&gt;&lt;s&gt;") &amp; "&lt;/s&gt;&lt;/t&gt;", "//s"))</f>
        <v>21012</v>
      </c>
      <c r="C52" s="1" t="str">
        <v>Monday</v>
      </c>
      <c r="D52" s="11">
        <v>0</v>
      </c>
      <c r="E52" s="1" t="str">
        <v>Sunday</v>
      </c>
      <c r="F52" s="11">
        <v>24</v>
      </c>
    </row>
    <row r="53" spans="1:6" x14ac:dyDescent="0.3">
      <c r="A53" s="7" t="s">
        <v>119</v>
      </c>
      <c r="B53" s="11" cm="1">
        <f t="array" ref="B53:F53">TRANSPOSE(_xlfn.FILTERXML("&lt;t&gt;&lt;s&gt;" &amp; SUBSTITUTE(SUBSTITUTE(A53, "-", "&lt;/s&gt;&lt;s&gt;"), " ", "&lt;/s&gt;&lt;s&gt;") &amp; "&lt;/s&gt;&lt;/t&gt;", "//s"))</f>
        <v>21014</v>
      </c>
      <c r="C53" s="1" t="str">
        <v>Monday</v>
      </c>
      <c r="D53" s="11">
        <v>0</v>
      </c>
      <c r="E53" s="1" t="str">
        <v>Sunday</v>
      </c>
      <c r="F53" s="11">
        <v>24</v>
      </c>
    </row>
    <row r="54" spans="1:6" x14ac:dyDescent="0.3">
      <c r="A54" s="8" t="s">
        <v>120</v>
      </c>
      <c r="B54" s="11" cm="1">
        <f t="array" ref="B54:F54">TRANSPOSE(_xlfn.FILTERXML("&lt;t&gt;&lt;s&gt;" &amp; SUBSTITUTE(SUBSTITUTE(A54, "-", "&lt;/s&gt;&lt;s&gt;"), " ", "&lt;/s&gt;&lt;s&gt;") &amp; "&lt;/s&gt;&lt;/t&gt;", "//s"))</f>
        <v>21016</v>
      </c>
      <c r="C54" s="9" t="str">
        <v>Monday</v>
      </c>
      <c r="D54" s="12">
        <v>0</v>
      </c>
      <c r="E54" s="9" t="str">
        <v>Sunday</v>
      </c>
      <c r="F54" s="12">
        <v>24</v>
      </c>
    </row>
    <row r="55" spans="1:6" x14ac:dyDescent="0.3">
      <c r="B55" s="11"/>
    </row>
  </sheetData>
  <phoneticPr fontId="10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topLeftCell="A6" zoomScaleNormal="100" workbookViewId="0">
      <selection activeCell="B22" sqref="B22"/>
    </sheetView>
  </sheetViews>
  <sheetFormatPr defaultColWidth="11" defaultRowHeight="13.8" x14ac:dyDescent="0.3"/>
  <cols>
    <col min="1" max="1" width="28.21875" style="2" bestFit="1" customWidth="1"/>
    <col min="2" max="2" width="49.44140625" style="2" customWidth="1"/>
    <col min="3" max="3" width="25.21875" style="2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2" t="s">
        <v>84</v>
      </c>
      <c r="B1" s="41" t="s">
        <v>167</v>
      </c>
    </row>
    <row r="2" spans="1:3" ht="18" x14ac:dyDescent="0.35">
      <c r="B2" s="40" t="s">
        <v>166</v>
      </c>
    </row>
    <row r="5" spans="1:3" ht="14.4" x14ac:dyDescent="0.3">
      <c r="B5" s="1" t="s">
        <v>151</v>
      </c>
    </row>
    <row r="6" spans="1:3" ht="14.4" x14ac:dyDescent="0.3">
      <c r="A6" s="3" t="s">
        <v>53</v>
      </c>
      <c r="B6" s="1" t="s">
        <v>178</v>
      </c>
    </row>
    <row r="7" spans="1:3" ht="129.6" x14ac:dyDescent="0.3">
      <c r="A7" s="3" t="s">
        <v>153</v>
      </c>
      <c r="B7" s="45" t="s">
        <v>179</v>
      </c>
    </row>
    <row r="10" spans="1:3" ht="23.4" x14ac:dyDescent="0.45">
      <c r="A10" s="17" t="s">
        <v>162</v>
      </c>
    </row>
    <row r="11" spans="1:3" ht="14.4" x14ac:dyDescent="0.3">
      <c r="A11" s="32" t="s">
        <v>85</v>
      </c>
      <c r="B11" s="16" t="s">
        <v>86</v>
      </c>
      <c r="C11" s="16" t="s">
        <v>87</v>
      </c>
    </row>
    <row r="12" spans="1:3" ht="14.4" x14ac:dyDescent="0.3">
      <c r="A12" s="32">
        <v>44927</v>
      </c>
      <c r="B12" s="16" t="s">
        <v>59</v>
      </c>
      <c r="C12" s="16">
        <v>200</v>
      </c>
    </row>
    <row r="13" spans="1:3" ht="14.4" x14ac:dyDescent="0.3">
      <c r="A13" s="32">
        <v>44928</v>
      </c>
      <c r="B13" s="16" t="s">
        <v>60</v>
      </c>
      <c r="C13" s="16" t="e">
        <v>#N/A</v>
      </c>
    </row>
    <row r="14" spans="1:3" ht="14.4" x14ac:dyDescent="0.3">
      <c r="A14" s="32">
        <v>44929</v>
      </c>
      <c r="B14" s="16" t="s">
        <v>61</v>
      </c>
      <c r="C14" s="16">
        <v>50</v>
      </c>
    </row>
    <row r="15" spans="1:3" ht="14.4" x14ac:dyDescent="0.3">
      <c r="A15" s="32">
        <v>44930</v>
      </c>
      <c r="B15" s="16" t="s">
        <v>62</v>
      </c>
      <c r="C15" s="16" t="e">
        <v>#N/A</v>
      </c>
    </row>
    <row r="16" spans="1:3" ht="14.4" x14ac:dyDescent="0.3">
      <c r="A16" s="32">
        <v>44931</v>
      </c>
      <c r="B16" s="16" t="s">
        <v>63</v>
      </c>
      <c r="C16" s="16">
        <v>10</v>
      </c>
    </row>
    <row r="17" spans="1:3" ht="14.4" x14ac:dyDescent="0.3">
      <c r="A17" s="32">
        <v>44932</v>
      </c>
      <c r="B17" s="16" t="s">
        <v>154</v>
      </c>
      <c r="C17" s="16">
        <v>150</v>
      </c>
    </row>
    <row r="18" spans="1:3" ht="14.4" x14ac:dyDescent="0.3">
      <c r="A18" s="32">
        <v>44933</v>
      </c>
      <c r="B18" s="16" t="s">
        <v>155</v>
      </c>
      <c r="C18" s="16">
        <v>80</v>
      </c>
    </row>
    <row r="19" spans="1:3" ht="14.4" x14ac:dyDescent="0.3">
      <c r="A19" s="32">
        <v>44934</v>
      </c>
      <c r="B19" s="16" t="s">
        <v>156</v>
      </c>
      <c r="C19" s="16" t="e">
        <v>#N/A</v>
      </c>
    </row>
    <row r="20" spans="1:3" ht="14.4" x14ac:dyDescent="0.3">
      <c r="A20" s="32">
        <v>44935</v>
      </c>
      <c r="B20" s="16" t="s">
        <v>157</v>
      </c>
      <c r="C20" s="16">
        <v>30</v>
      </c>
    </row>
    <row r="21" spans="1:3" ht="14.4" x14ac:dyDescent="0.3">
      <c r="A21" s="32">
        <v>44936</v>
      </c>
      <c r="B21" s="16" t="s">
        <v>158</v>
      </c>
      <c r="C21" s="16" t="e">
        <v>#N/A</v>
      </c>
    </row>
    <row r="22" spans="1:3" ht="14.4" x14ac:dyDescent="0.3">
      <c r="B22" s="16" t="s">
        <v>159</v>
      </c>
      <c r="C22" s="24" cm="1">
        <f t="array" ref="C22">SUMIF(C12:C21, "&lt;&gt;#N/A") + SUM(IFERROR(C12:C21, 20))</f>
        <v>1120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opLeftCell="A3" zoomScaleNormal="100" workbookViewId="0">
      <selection activeCell="L16" sqref="L16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2" t="s">
        <v>97</v>
      </c>
      <c r="B1" s="41" t="s">
        <v>175</v>
      </c>
    </row>
    <row r="3" spans="1:14" ht="14.4" x14ac:dyDescent="0.3">
      <c r="B3" s="1" t="s">
        <v>151</v>
      </c>
    </row>
    <row r="4" spans="1:14" ht="18" x14ac:dyDescent="0.35">
      <c r="A4" s="43" t="s">
        <v>53</v>
      </c>
      <c r="B4" s="1"/>
    </row>
    <row r="5" spans="1:14" ht="18" x14ac:dyDescent="0.35">
      <c r="A5" s="43" t="s">
        <v>153</v>
      </c>
      <c r="B5" s="1"/>
    </row>
    <row r="6" spans="1:14" ht="14.4" x14ac:dyDescent="0.3">
      <c r="A6" s="3"/>
      <c r="B6" s="1"/>
    </row>
    <row r="8" spans="1:14" ht="23.4" x14ac:dyDescent="0.45">
      <c r="A8" s="17" t="s">
        <v>162</v>
      </c>
      <c r="M8" s="17" t="s">
        <v>163</v>
      </c>
    </row>
    <row r="9" spans="1:14" ht="14.4" x14ac:dyDescent="0.3">
      <c r="A9" s="25"/>
      <c r="B9" s="25" t="s">
        <v>88</v>
      </c>
      <c r="C9" s="25" t="s">
        <v>89</v>
      </c>
      <c r="D9" s="25" t="s">
        <v>90</v>
      </c>
      <c r="E9" s="25" t="s">
        <v>91</v>
      </c>
      <c r="F9" s="25" t="s">
        <v>92</v>
      </c>
      <c r="G9" s="25" t="s">
        <v>93</v>
      </c>
      <c r="H9" s="25" t="s">
        <v>94</v>
      </c>
      <c r="I9" s="25" t="s">
        <v>95</v>
      </c>
      <c r="J9" s="25" t="s">
        <v>96</v>
      </c>
      <c r="M9" s="18" t="s">
        <v>43</v>
      </c>
      <c r="N9" s="18" t="s">
        <v>98</v>
      </c>
    </row>
    <row r="10" spans="1:14" ht="14.4" x14ac:dyDescent="0.3">
      <c r="A10" s="25" t="s">
        <v>88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88</v>
      </c>
    </row>
    <row r="11" spans="1:14" ht="14.4" x14ac:dyDescent="0.3">
      <c r="A11" s="25" t="s">
        <v>89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89</v>
      </c>
    </row>
    <row r="12" spans="1:14" ht="14.4" x14ac:dyDescent="0.3">
      <c r="A12" s="25" t="s">
        <v>90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90</v>
      </c>
    </row>
    <row r="13" spans="1:14" ht="14.4" x14ac:dyDescent="0.3">
      <c r="A13" s="25" t="s">
        <v>91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91</v>
      </c>
    </row>
    <row r="14" spans="1:14" ht="14.4" x14ac:dyDescent="0.3">
      <c r="A14" s="25" t="s">
        <v>92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92</v>
      </c>
    </row>
    <row r="15" spans="1:14" ht="14.4" x14ac:dyDescent="0.3">
      <c r="A15" s="25" t="s">
        <v>93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93</v>
      </c>
    </row>
    <row r="16" spans="1:14" ht="14.4" x14ac:dyDescent="0.3">
      <c r="A16" s="25" t="s">
        <v>94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94</v>
      </c>
    </row>
    <row r="17" spans="1:14" ht="14.4" x14ac:dyDescent="0.3">
      <c r="A17" s="25" t="s">
        <v>95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95</v>
      </c>
    </row>
    <row r="18" spans="1:14" ht="14.4" x14ac:dyDescent="0.3">
      <c r="A18" s="25" t="s">
        <v>96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96</v>
      </c>
    </row>
    <row r="21" spans="1:14" ht="23.4" x14ac:dyDescent="0.45">
      <c r="A21" s="17" t="s">
        <v>168</v>
      </c>
    </row>
    <row r="22" spans="1:14" ht="14.4" x14ac:dyDescent="0.3">
      <c r="A22" s="13" t="s">
        <v>99</v>
      </c>
      <c r="B22" s="16" t="s">
        <v>100</v>
      </c>
      <c r="C22" s="15" t="s">
        <v>101</v>
      </c>
    </row>
    <row r="23" spans="1:14" ht="14.4" x14ac:dyDescent="0.3">
      <c r="A23" s="7">
        <v>10100</v>
      </c>
      <c r="B23" s="11">
        <v>10102</v>
      </c>
      <c r="C23" s="44" t="e">
        <f>INDEX([1]Table_A!$B$10:$J$18,MATCH(VLOOKUP(A2,[2]Table_B!$M$10:$N$18,2,FALSE),[1]Table_A!$A$10:$A$18,0),MATCH(VLOOKUP(B2,[2]Table_B!$M$10:$N$18,2,FALSE),[1]Table_A!$A$10:$A$18,0))</f>
        <v>#N/A</v>
      </c>
    </row>
    <row r="24" spans="1:14" ht="14.4" x14ac:dyDescent="0.3">
      <c r="A24" s="7">
        <v>10100</v>
      </c>
      <c r="B24" s="11">
        <v>10104</v>
      </c>
      <c r="C24" s="44" t="e">
        <f>INDEX([1]Table_A!$B$10:$J$18,MATCH(VLOOKUP(A3,[2]Table_B!$M$10:$N$18,2,FALSE),[1]Table_A!$A$10:$A$18,0),MATCH(VLOOKUP(B3,[2]Table_B!$M$10:$N$18,2,FALSE),[1]Table_A!$A$10:$A$18,0))</f>
        <v>#N/A</v>
      </c>
    </row>
    <row r="25" spans="1:14" ht="14.4" x14ac:dyDescent="0.3">
      <c r="A25" s="7">
        <v>10108</v>
      </c>
      <c r="B25" s="11">
        <v>10102</v>
      </c>
      <c r="C25" s="44" t="e">
        <f>INDEX([1]Table_A!$B$10:$J$18,MATCH(VLOOKUP(A4,[2]Table_B!$M$10:$N$18,2,FALSE),[1]Table_A!$A$10:$A$18,0),MATCH(VLOOKUP(B4,[2]Table_B!$M$10:$N$18,2,FALSE),[1]Table_A!$A$10:$A$18,0))</f>
        <v>#N/A</v>
      </c>
    </row>
    <row r="26" spans="1:14" ht="14.4" x14ac:dyDescent="0.3">
      <c r="A26" s="7">
        <v>10100</v>
      </c>
      <c r="B26" s="11">
        <v>10106</v>
      </c>
      <c r="C26" s="44" t="e">
        <f>INDEX([1]Table_A!$B$10:$J$18,MATCH(VLOOKUP(A5,[2]Table_B!$M$10:$N$18,2,FALSE),[1]Table_A!$A$10:$A$18,0),MATCH(VLOOKUP(B5,[2]Table_B!$M$10:$N$18,2,FALSE),[1]Table_A!$A$10:$A$18,0))</f>
        <v>#N/A</v>
      </c>
    </row>
    <row r="27" spans="1:14" ht="14.4" x14ac:dyDescent="0.3">
      <c r="A27" s="7">
        <v>10108</v>
      </c>
      <c r="B27" s="11">
        <v>10110</v>
      </c>
      <c r="C27" s="44" t="e">
        <f>INDEX([1]Table_A!$B$10:$J$18,MATCH(VLOOKUP(A6,[2]Table_B!$M$10:$N$18,2,FALSE),[1]Table_A!$A$10:$A$18,0),MATCH(VLOOKUP(B6,[2]Table_B!$M$10:$N$18,2,FALSE),[1]Table_A!$A$10:$A$18,0))</f>
        <v>#N/A</v>
      </c>
    </row>
    <row r="28" spans="1:14" ht="14.4" x14ac:dyDescent="0.3">
      <c r="A28" s="7">
        <v>10102</v>
      </c>
      <c r="B28" s="11">
        <v>10104</v>
      </c>
      <c r="C28" s="44" t="e">
        <f>INDEX([1]Table_A!$B$10:$J$18,MATCH(VLOOKUP(A7,[2]Table_B!$M$10:$N$18,2,FALSE),[1]Table_A!$A$10:$A$18,0),MATCH(VLOOKUP(B7,[2]Table_B!$M$10:$N$18,2,FALSE),[1]Table_A!$A$10:$A$18,0))</f>
        <v>#N/A</v>
      </c>
    </row>
    <row r="29" spans="1:14" ht="14.4" x14ac:dyDescent="0.3">
      <c r="A29" s="7">
        <v>10106</v>
      </c>
      <c r="B29" s="11">
        <v>10108</v>
      </c>
      <c r="C29" s="44" t="e">
        <f>INDEX([1]Table_A!$B$10:$J$18,MATCH(VLOOKUP(A8,[2]Table_B!$M$10:$N$18,2,FALSE),[1]Table_A!$A$10:$A$18,0),MATCH(VLOOKUP(B8,[2]Table_B!$M$10:$N$18,2,FALSE),[1]Table_A!$A$10:$A$18,0))</f>
        <v>#N/A</v>
      </c>
    </row>
    <row r="30" spans="1:14" ht="14.4" x14ac:dyDescent="0.3">
      <c r="A30" s="7">
        <v>10102</v>
      </c>
      <c r="B30" s="11">
        <v>10106</v>
      </c>
      <c r="C30" s="44" t="e">
        <f>INDEX([1]Table_A!$B$10:$J$18,MATCH(VLOOKUP(A9,[2]Table_B!$M$10:$N$18,2,FALSE),[1]Table_A!$A$10:$A$18,0),MATCH(VLOOKUP(B9,[2]Table_B!$M$10:$N$18,2,FALSE),[1]Table_A!$A$10:$A$18,0))</f>
        <v>#N/A</v>
      </c>
    </row>
    <row r="31" spans="1:14" ht="14.4" x14ac:dyDescent="0.3">
      <c r="A31" s="7">
        <v>10110</v>
      </c>
      <c r="B31" s="11">
        <v>10114</v>
      </c>
      <c r="C31" s="44" t="e">
        <f>INDEX([1]Table_A!$B$10:$J$18,MATCH(VLOOKUP(A10,[2]Table_B!$M$10:$N$18,2,FALSE),[1]Table_A!$A$10:$A$18,0),MATCH(VLOOKUP(B10,[2]Table_B!$M$10:$N$18,2,FALSE),[1]Table_A!$A$10:$A$18,0))</f>
        <v>#N/A</v>
      </c>
    </row>
    <row r="32" spans="1:14" ht="14.4" x14ac:dyDescent="0.3">
      <c r="A32" s="7">
        <v>10104</v>
      </c>
      <c r="B32" s="11">
        <v>10106</v>
      </c>
      <c r="C32" s="44" t="e">
        <f>INDEX([1]Table_A!$B$10:$J$18,MATCH(VLOOKUP(A11,[2]Table_B!$M$10:$N$18,2,FALSE),[1]Table_A!$A$10:$A$18,0),MATCH(VLOOKUP(B11,[2]Table_B!$M$10:$N$18,2,FALSE),[1]Table_A!$A$10:$A$18,0))</f>
        <v>#N/A</v>
      </c>
    </row>
    <row r="33" spans="1:3" ht="14.4" x14ac:dyDescent="0.3">
      <c r="A33" s="7">
        <v>10110</v>
      </c>
      <c r="B33" s="11">
        <v>10112</v>
      </c>
      <c r="C33" s="44" t="e">
        <f>INDEX([1]Table_A!$B$10:$J$18,MATCH(VLOOKUP(A12,[2]Table_B!$M$10:$N$18,2,FALSE),[1]Table_A!$A$10:$A$18,0),MATCH(VLOOKUP(B12,[2]Table_B!$M$10:$N$18,2,FALSE),[1]Table_A!$A$10:$A$18,0))</f>
        <v>#N/A</v>
      </c>
    </row>
    <row r="34" spans="1:3" ht="14.4" x14ac:dyDescent="0.3">
      <c r="A34" s="7">
        <v>10100</v>
      </c>
      <c r="B34" s="11">
        <v>10114</v>
      </c>
      <c r="C34" s="44" t="e">
        <f>INDEX([1]Table_A!$B$10:$J$18,MATCH(VLOOKUP(A13,[2]Table_B!$M$10:$N$18,2,FALSE),[1]Table_A!$A$10:$A$18,0),MATCH(VLOOKUP(B13,[2]Table_B!$M$10:$N$18,2,FALSE),[1]Table_A!$A$10:$A$18,0))</f>
        <v>#N/A</v>
      </c>
    </row>
    <row r="35" spans="1:3" ht="14.4" x14ac:dyDescent="0.3">
      <c r="A35" s="8">
        <v>10112</v>
      </c>
      <c r="B35" s="12">
        <v>10116</v>
      </c>
      <c r="C35" s="44" t="e">
        <f>INDEX([1]Table_A!$B$10:$J$18,MATCH(VLOOKUP(A14,[2]Table_B!$M$10:$N$18,2,FALSE),[1]Table_A!$A$10:$A$18,0),MATCH(VLOOKUP(B14,[2]Table_B!$M$10:$N$18,2,FALSE),[1]Table_A!$A$10:$A$18,0))</f>
        <v>#N/A</v>
      </c>
    </row>
  </sheetData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navinesh kumar</cp:lastModifiedBy>
  <dcterms:created xsi:type="dcterms:W3CDTF">2015-02-10T17:33:11Z</dcterms:created>
  <dcterms:modified xsi:type="dcterms:W3CDTF">2023-12-11T15:40:30Z</dcterms:modified>
</cp:coreProperties>
</file>